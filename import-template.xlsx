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2026\"/>
    </mc:Choice>
  </mc:AlternateContent>
  <xr:revisionPtr revIDLastSave="0" documentId="8_{EA1721B5-A235-482C-89A7-8AC20184B0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definedNames>
    <definedName name="_xlnm._FilterDatabase" localSheetId="1" hidden="1">DetailFaktur!$A$1:$N$959</definedName>
    <definedName name="_xlnm._FilterDatabase" localSheetId="0" hidden="1">Faktur!$A$3:$R$72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9" i="3" l="1"/>
  <c r="I959" i="3"/>
  <c r="H482" i="3"/>
  <c r="H941" i="3"/>
  <c r="I941" i="3" s="1"/>
  <c r="J941" i="3" s="1"/>
  <c r="L941" i="3" s="1"/>
  <c r="H438" i="3"/>
  <c r="H339" i="3"/>
  <c r="H315" i="3"/>
  <c r="H224" i="3"/>
  <c r="H223" i="3"/>
  <c r="I223" i="3" s="1"/>
  <c r="J223" i="3" s="1"/>
  <c r="L223" i="3" s="1"/>
  <c r="H150" i="3"/>
  <c r="I150" i="3" s="1"/>
  <c r="J150" i="3" s="1"/>
  <c r="L150" i="3" s="1"/>
  <c r="H95" i="3"/>
  <c r="I95" i="3" s="1"/>
  <c r="J95" i="3" s="1"/>
  <c r="H94" i="3"/>
  <c r="I94" i="3" s="1"/>
  <c r="J94" i="3" s="1"/>
  <c r="L94" i="3" s="1"/>
  <c r="I3" i="3"/>
  <c r="I4" i="3"/>
  <c r="I5" i="3"/>
  <c r="I6" i="3"/>
  <c r="I7" i="3"/>
  <c r="J7" i="3" s="1"/>
  <c r="I8" i="3"/>
  <c r="J8" i="3" s="1"/>
  <c r="L8" i="3" s="1"/>
  <c r="I9" i="3"/>
  <c r="J9" i="3" s="1"/>
  <c r="I10" i="3"/>
  <c r="J10" i="3" s="1"/>
  <c r="L10" i="3" s="1"/>
  <c r="I11" i="3"/>
  <c r="I12" i="3"/>
  <c r="I13" i="3"/>
  <c r="I14" i="3"/>
  <c r="I15" i="3"/>
  <c r="J15" i="3" s="1"/>
  <c r="I16" i="3"/>
  <c r="J16" i="3" s="1"/>
  <c r="L16" i="3" s="1"/>
  <c r="I17" i="3"/>
  <c r="J17" i="3" s="1"/>
  <c r="I18" i="3"/>
  <c r="J18" i="3" s="1"/>
  <c r="L18" i="3" s="1"/>
  <c r="I19" i="3"/>
  <c r="I20" i="3"/>
  <c r="I21" i="3"/>
  <c r="I22" i="3"/>
  <c r="I23" i="3"/>
  <c r="J23" i="3" s="1"/>
  <c r="I24" i="3"/>
  <c r="J24" i="3" s="1"/>
  <c r="L24" i="3" s="1"/>
  <c r="I25" i="3"/>
  <c r="J25" i="3" s="1"/>
  <c r="I26" i="3"/>
  <c r="J26" i="3" s="1"/>
  <c r="L26" i="3" s="1"/>
  <c r="I27" i="3"/>
  <c r="I28" i="3"/>
  <c r="I29" i="3"/>
  <c r="I30" i="3"/>
  <c r="I31" i="3"/>
  <c r="J31" i="3" s="1"/>
  <c r="I32" i="3"/>
  <c r="J32" i="3" s="1"/>
  <c r="L32" i="3" s="1"/>
  <c r="I33" i="3"/>
  <c r="J33" i="3" s="1"/>
  <c r="I34" i="3"/>
  <c r="J34" i="3" s="1"/>
  <c r="L34" i="3" s="1"/>
  <c r="I35" i="3"/>
  <c r="I36" i="3"/>
  <c r="I37" i="3"/>
  <c r="I38" i="3"/>
  <c r="I39" i="3"/>
  <c r="I40" i="3"/>
  <c r="J40" i="3" s="1"/>
  <c r="L40" i="3" s="1"/>
  <c r="I41" i="3"/>
  <c r="J41" i="3" s="1"/>
  <c r="I42" i="3"/>
  <c r="J42" i="3" s="1"/>
  <c r="L42" i="3" s="1"/>
  <c r="I43" i="3"/>
  <c r="I44" i="3"/>
  <c r="I45" i="3"/>
  <c r="I46" i="3"/>
  <c r="I47" i="3"/>
  <c r="J47" i="3" s="1"/>
  <c r="I48" i="3"/>
  <c r="J48" i="3" s="1"/>
  <c r="L48" i="3" s="1"/>
  <c r="I49" i="3"/>
  <c r="J49" i="3" s="1"/>
  <c r="I50" i="3"/>
  <c r="J50" i="3" s="1"/>
  <c r="L50" i="3" s="1"/>
  <c r="I51" i="3"/>
  <c r="I52" i="3"/>
  <c r="I53" i="3"/>
  <c r="I54" i="3"/>
  <c r="I55" i="3"/>
  <c r="J55" i="3" s="1"/>
  <c r="I56" i="3"/>
  <c r="J56" i="3" s="1"/>
  <c r="L56" i="3" s="1"/>
  <c r="I57" i="3"/>
  <c r="J57" i="3" s="1"/>
  <c r="I58" i="3"/>
  <c r="J58" i="3" s="1"/>
  <c r="L58" i="3" s="1"/>
  <c r="I59" i="3"/>
  <c r="I60" i="3"/>
  <c r="I61" i="3"/>
  <c r="I62" i="3"/>
  <c r="I63" i="3"/>
  <c r="J63" i="3" s="1"/>
  <c r="I64" i="3"/>
  <c r="J64" i="3" s="1"/>
  <c r="L64" i="3" s="1"/>
  <c r="I65" i="3"/>
  <c r="J65" i="3" s="1"/>
  <c r="I66" i="3"/>
  <c r="J66" i="3" s="1"/>
  <c r="L66" i="3" s="1"/>
  <c r="I67" i="3"/>
  <c r="I68" i="3"/>
  <c r="I69" i="3"/>
  <c r="I70" i="3"/>
  <c r="I71" i="3"/>
  <c r="J71" i="3" s="1"/>
  <c r="I72" i="3"/>
  <c r="J72" i="3" s="1"/>
  <c r="L72" i="3" s="1"/>
  <c r="I73" i="3"/>
  <c r="J73" i="3" s="1"/>
  <c r="I74" i="3"/>
  <c r="J74" i="3" s="1"/>
  <c r="L74" i="3" s="1"/>
  <c r="I75" i="3"/>
  <c r="I76" i="3"/>
  <c r="I77" i="3"/>
  <c r="I78" i="3"/>
  <c r="I79" i="3"/>
  <c r="J79" i="3" s="1"/>
  <c r="I80" i="3"/>
  <c r="J80" i="3" s="1"/>
  <c r="L80" i="3" s="1"/>
  <c r="I81" i="3"/>
  <c r="J81" i="3" s="1"/>
  <c r="I82" i="3"/>
  <c r="J82" i="3" s="1"/>
  <c r="L82" i="3" s="1"/>
  <c r="I83" i="3"/>
  <c r="I84" i="3"/>
  <c r="I85" i="3"/>
  <c r="I86" i="3"/>
  <c r="I87" i="3"/>
  <c r="I88" i="3"/>
  <c r="J88" i="3" s="1"/>
  <c r="L88" i="3" s="1"/>
  <c r="I89" i="3"/>
  <c r="J89" i="3" s="1"/>
  <c r="I90" i="3"/>
  <c r="J90" i="3" s="1"/>
  <c r="L90" i="3" s="1"/>
  <c r="I91" i="3"/>
  <c r="I92" i="3"/>
  <c r="I93" i="3"/>
  <c r="I96" i="3"/>
  <c r="J96" i="3" s="1"/>
  <c r="L96" i="3" s="1"/>
  <c r="I97" i="3"/>
  <c r="J97" i="3" s="1"/>
  <c r="I98" i="3"/>
  <c r="J98" i="3" s="1"/>
  <c r="L98" i="3" s="1"/>
  <c r="I99" i="3"/>
  <c r="J99" i="3" s="1"/>
  <c r="I100" i="3"/>
  <c r="J100" i="3" s="1"/>
  <c r="I101" i="3"/>
  <c r="I102" i="3"/>
  <c r="I103" i="3"/>
  <c r="I104" i="3"/>
  <c r="J104" i="3" s="1"/>
  <c r="L104" i="3" s="1"/>
  <c r="I105" i="3"/>
  <c r="J105" i="3" s="1"/>
  <c r="I106" i="3"/>
  <c r="J106" i="3" s="1"/>
  <c r="L106" i="3" s="1"/>
  <c r="I107" i="3"/>
  <c r="J107" i="3" s="1"/>
  <c r="I108" i="3"/>
  <c r="J108" i="3" s="1"/>
  <c r="L108" i="3" s="1"/>
  <c r="I109" i="3"/>
  <c r="I110" i="3"/>
  <c r="I111" i="3"/>
  <c r="I112" i="3"/>
  <c r="J112" i="3" s="1"/>
  <c r="L112" i="3" s="1"/>
  <c r="I113" i="3"/>
  <c r="J113" i="3" s="1"/>
  <c r="I114" i="3"/>
  <c r="J114" i="3" s="1"/>
  <c r="L114" i="3" s="1"/>
  <c r="I115" i="3"/>
  <c r="J115" i="3" s="1"/>
  <c r="I116" i="3"/>
  <c r="J116" i="3" s="1"/>
  <c r="I117" i="3"/>
  <c r="I118" i="3"/>
  <c r="I119" i="3"/>
  <c r="I120" i="3"/>
  <c r="J120" i="3" s="1"/>
  <c r="I121" i="3"/>
  <c r="J121" i="3" s="1"/>
  <c r="I122" i="3"/>
  <c r="J122" i="3" s="1"/>
  <c r="L122" i="3" s="1"/>
  <c r="I123" i="3"/>
  <c r="J123" i="3" s="1"/>
  <c r="I124" i="3"/>
  <c r="J124" i="3" s="1"/>
  <c r="L124" i="3" s="1"/>
  <c r="I125" i="3"/>
  <c r="I126" i="3"/>
  <c r="I127" i="3"/>
  <c r="I128" i="3"/>
  <c r="J128" i="3" s="1"/>
  <c r="L128" i="3" s="1"/>
  <c r="I129" i="3"/>
  <c r="J129" i="3" s="1"/>
  <c r="I130" i="3"/>
  <c r="J130" i="3" s="1"/>
  <c r="L130" i="3" s="1"/>
  <c r="I131" i="3"/>
  <c r="J131" i="3" s="1"/>
  <c r="I132" i="3"/>
  <c r="J132" i="3" s="1"/>
  <c r="I133" i="3"/>
  <c r="I134" i="3"/>
  <c r="I135" i="3"/>
  <c r="I136" i="3"/>
  <c r="J136" i="3" s="1"/>
  <c r="L136" i="3" s="1"/>
  <c r="I137" i="3"/>
  <c r="I138" i="3"/>
  <c r="J138" i="3" s="1"/>
  <c r="L138" i="3" s="1"/>
  <c r="I139" i="3"/>
  <c r="J139" i="3" s="1"/>
  <c r="I140" i="3"/>
  <c r="J140" i="3" s="1"/>
  <c r="L140" i="3" s="1"/>
  <c r="I141" i="3"/>
  <c r="I142" i="3"/>
  <c r="I143" i="3"/>
  <c r="I144" i="3"/>
  <c r="J144" i="3" s="1"/>
  <c r="L144" i="3" s="1"/>
  <c r="I145" i="3"/>
  <c r="J145" i="3" s="1"/>
  <c r="I146" i="3"/>
  <c r="J146" i="3" s="1"/>
  <c r="L146" i="3" s="1"/>
  <c r="I147" i="3"/>
  <c r="J147" i="3" s="1"/>
  <c r="I148" i="3"/>
  <c r="J148" i="3" s="1"/>
  <c r="I149" i="3"/>
  <c r="I151" i="3"/>
  <c r="I152" i="3"/>
  <c r="I153" i="3"/>
  <c r="J153" i="3" s="1"/>
  <c r="I154" i="3"/>
  <c r="J154" i="3" s="1"/>
  <c r="L154" i="3" s="1"/>
  <c r="I155" i="3"/>
  <c r="J155" i="3" s="1"/>
  <c r="I156" i="3"/>
  <c r="J156" i="3" s="1"/>
  <c r="L156" i="3" s="1"/>
  <c r="I157" i="3"/>
  <c r="J157" i="3" s="1"/>
  <c r="I158" i="3"/>
  <c r="I159" i="3"/>
  <c r="I160" i="3"/>
  <c r="I161" i="3"/>
  <c r="J161" i="3" s="1"/>
  <c r="L161" i="3" s="1"/>
  <c r="I162" i="3"/>
  <c r="J162" i="3" s="1"/>
  <c r="L162" i="3" s="1"/>
  <c r="I163" i="3"/>
  <c r="J163" i="3" s="1"/>
  <c r="I164" i="3"/>
  <c r="J164" i="3" s="1"/>
  <c r="L164" i="3" s="1"/>
  <c r="I165" i="3"/>
  <c r="I166" i="3"/>
  <c r="I167" i="3"/>
  <c r="I168" i="3"/>
  <c r="I169" i="3"/>
  <c r="J169" i="3" s="1"/>
  <c r="L169" i="3" s="1"/>
  <c r="I170" i="3"/>
  <c r="J170" i="3" s="1"/>
  <c r="I171" i="3"/>
  <c r="J171" i="3" s="1"/>
  <c r="L171" i="3" s="1"/>
  <c r="I172" i="3"/>
  <c r="J172" i="3" s="1"/>
  <c r="I173" i="3"/>
  <c r="J173" i="3" s="1"/>
  <c r="L173" i="3" s="1"/>
  <c r="I174" i="3"/>
  <c r="I175" i="3"/>
  <c r="I176" i="3"/>
  <c r="I177" i="3"/>
  <c r="J177" i="3" s="1"/>
  <c r="L177" i="3" s="1"/>
  <c r="I178" i="3"/>
  <c r="J178" i="3" s="1"/>
  <c r="I179" i="3"/>
  <c r="J179" i="3" s="1"/>
  <c r="L179" i="3" s="1"/>
  <c r="I180" i="3"/>
  <c r="J180" i="3" s="1"/>
  <c r="I181" i="3"/>
  <c r="I182" i="3"/>
  <c r="I183" i="3"/>
  <c r="I184" i="3"/>
  <c r="I185" i="3"/>
  <c r="J185" i="3" s="1"/>
  <c r="L185" i="3" s="1"/>
  <c r="I186" i="3"/>
  <c r="J186" i="3" s="1"/>
  <c r="I187" i="3"/>
  <c r="J187" i="3" s="1"/>
  <c r="L187" i="3" s="1"/>
  <c r="I188" i="3"/>
  <c r="J188" i="3" s="1"/>
  <c r="I189" i="3"/>
  <c r="J189" i="3" s="1"/>
  <c r="L189" i="3" s="1"/>
  <c r="I190" i="3"/>
  <c r="I191" i="3"/>
  <c r="I192" i="3"/>
  <c r="I193" i="3"/>
  <c r="J193" i="3" s="1"/>
  <c r="L193" i="3" s="1"/>
  <c r="I194" i="3"/>
  <c r="J194" i="3" s="1"/>
  <c r="I195" i="3"/>
  <c r="J195" i="3" s="1"/>
  <c r="L195" i="3" s="1"/>
  <c r="I196" i="3"/>
  <c r="J196" i="3" s="1"/>
  <c r="I197" i="3"/>
  <c r="J197" i="3" s="1"/>
  <c r="L197" i="3" s="1"/>
  <c r="I198" i="3"/>
  <c r="I199" i="3"/>
  <c r="I200" i="3"/>
  <c r="I201" i="3"/>
  <c r="I202" i="3"/>
  <c r="J202" i="3" s="1"/>
  <c r="I203" i="3"/>
  <c r="J203" i="3" s="1"/>
  <c r="L203" i="3" s="1"/>
  <c r="I204" i="3"/>
  <c r="J204" i="3" s="1"/>
  <c r="I205" i="3"/>
  <c r="J205" i="3" s="1"/>
  <c r="L205" i="3" s="1"/>
  <c r="I206" i="3"/>
  <c r="I207" i="3"/>
  <c r="I208" i="3"/>
  <c r="I209" i="3"/>
  <c r="J209" i="3" s="1"/>
  <c r="L209" i="3" s="1"/>
  <c r="I210" i="3"/>
  <c r="J210" i="3" s="1"/>
  <c r="I211" i="3"/>
  <c r="J211" i="3" s="1"/>
  <c r="L211" i="3" s="1"/>
  <c r="I212" i="3"/>
  <c r="J212" i="3" s="1"/>
  <c r="I213" i="3"/>
  <c r="J213" i="3" s="1"/>
  <c r="L213" i="3" s="1"/>
  <c r="I214" i="3"/>
  <c r="I215" i="3"/>
  <c r="I216" i="3"/>
  <c r="I217" i="3"/>
  <c r="J217" i="3" s="1"/>
  <c r="L217" i="3" s="1"/>
  <c r="I218" i="3"/>
  <c r="J218" i="3" s="1"/>
  <c r="I219" i="3"/>
  <c r="J219" i="3" s="1"/>
  <c r="L219" i="3" s="1"/>
  <c r="I220" i="3"/>
  <c r="J220" i="3" s="1"/>
  <c r="I221" i="3"/>
  <c r="J221" i="3" s="1"/>
  <c r="L221" i="3" s="1"/>
  <c r="I222" i="3"/>
  <c r="I224" i="3"/>
  <c r="I225" i="3"/>
  <c r="J225" i="3" s="1"/>
  <c r="L225" i="3" s="1"/>
  <c r="I226" i="3"/>
  <c r="J226" i="3" s="1"/>
  <c r="I227" i="3"/>
  <c r="I228" i="3"/>
  <c r="I229" i="3"/>
  <c r="J229" i="3" s="1"/>
  <c r="L229" i="3" s="1"/>
  <c r="I230" i="3"/>
  <c r="J230" i="3" s="1"/>
  <c r="I231" i="3"/>
  <c r="I232" i="3"/>
  <c r="I233" i="3"/>
  <c r="J233" i="3" s="1"/>
  <c r="L233" i="3" s="1"/>
  <c r="I234" i="3"/>
  <c r="J234" i="3" s="1"/>
  <c r="I235" i="3"/>
  <c r="I236" i="3"/>
  <c r="J236" i="3" s="1"/>
  <c r="I237" i="3"/>
  <c r="J237" i="3" s="1"/>
  <c r="L237" i="3" s="1"/>
  <c r="I238" i="3"/>
  <c r="J238" i="3" s="1"/>
  <c r="I239" i="3"/>
  <c r="I240" i="3"/>
  <c r="I241" i="3"/>
  <c r="J241" i="3" s="1"/>
  <c r="L241" i="3" s="1"/>
  <c r="I242" i="3"/>
  <c r="J242" i="3" s="1"/>
  <c r="I243" i="3"/>
  <c r="J243" i="3" s="1"/>
  <c r="L243" i="3" s="1"/>
  <c r="I244" i="3"/>
  <c r="J244" i="3" s="1"/>
  <c r="I245" i="3"/>
  <c r="J245" i="3" s="1"/>
  <c r="L245" i="3" s="1"/>
  <c r="I246" i="3"/>
  <c r="J246" i="3" s="1"/>
  <c r="I247" i="3"/>
  <c r="I248" i="3"/>
  <c r="I249" i="3"/>
  <c r="J249" i="3" s="1"/>
  <c r="L249" i="3" s="1"/>
  <c r="I250" i="3"/>
  <c r="J250" i="3" s="1"/>
  <c r="I251" i="3"/>
  <c r="J251" i="3" s="1"/>
  <c r="L251" i="3" s="1"/>
  <c r="I252" i="3"/>
  <c r="J252" i="3" s="1"/>
  <c r="I253" i="3"/>
  <c r="J253" i="3" s="1"/>
  <c r="L253" i="3" s="1"/>
  <c r="I254" i="3"/>
  <c r="J254" i="3" s="1"/>
  <c r="I255" i="3"/>
  <c r="I256" i="3"/>
  <c r="I257" i="3"/>
  <c r="J257" i="3" s="1"/>
  <c r="L257" i="3" s="1"/>
  <c r="I258" i="3"/>
  <c r="J258" i="3" s="1"/>
  <c r="I259" i="3"/>
  <c r="J259" i="3" s="1"/>
  <c r="L259" i="3" s="1"/>
  <c r="I260" i="3"/>
  <c r="J260" i="3" s="1"/>
  <c r="I261" i="3"/>
  <c r="J261" i="3" s="1"/>
  <c r="L261" i="3" s="1"/>
  <c r="I262" i="3"/>
  <c r="J262" i="3" s="1"/>
  <c r="I263" i="3"/>
  <c r="I264" i="3"/>
  <c r="I265" i="3"/>
  <c r="J265" i="3" s="1"/>
  <c r="L265" i="3" s="1"/>
  <c r="I266" i="3"/>
  <c r="J266" i="3" s="1"/>
  <c r="I267" i="3"/>
  <c r="I268" i="3"/>
  <c r="J268" i="3" s="1"/>
  <c r="I269" i="3"/>
  <c r="J269" i="3" s="1"/>
  <c r="L269" i="3" s="1"/>
  <c r="I270" i="3"/>
  <c r="J270" i="3" s="1"/>
  <c r="I271" i="3"/>
  <c r="I272" i="3"/>
  <c r="I273" i="3"/>
  <c r="J273" i="3" s="1"/>
  <c r="L273" i="3" s="1"/>
  <c r="I274" i="3"/>
  <c r="J274" i="3" s="1"/>
  <c r="I275" i="3"/>
  <c r="I276" i="3"/>
  <c r="J276" i="3" s="1"/>
  <c r="I277" i="3"/>
  <c r="J277" i="3" s="1"/>
  <c r="L277" i="3" s="1"/>
  <c r="I278" i="3"/>
  <c r="J278" i="3" s="1"/>
  <c r="I279" i="3"/>
  <c r="I280" i="3"/>
  <c r="I281" i="3"/>
  <c r="J281" i="3" s="1"/>
  <c r="L281" i="3" s="1"/>
  <c r="I282" i="3"/>
  <c r="J282" i="3" s="1"/>
  <c r="I283" i="3"/>
  <c r="J283" i="3" s="1"/>
  <c r="L283" i="3" s="1"/>
  <c r="I284" i="3"/>
  <c r="I285" i="3"/>
  <c r="J285" i="3" s="1"/>
  <c r="L285" i="3" s="1"/>
  <c r="I286" i="3"/>
  <c r="J286" i="3" s="1"/>
  <c r="I287" i="3"/>
  <c r="I288" i="3"/>
  <c r="I289" i="3"/>
  <c r="J289" i="3" s="1"/>
  <c r="L289" i="3" s="1"/>
  <c r="I290" i="3"/>
  <c r="J290" i="3" s="1"/>
  <c r="I291" i="3"/>
  <c r="J291" i="3" s="1"/>
  <c r="L291" i="3" s="1"/>
  <c r="I292" i="3"/>
  <c r="J292" i="3" s="1"/>
  <c r="I293" i="3"/>
  <c r="J293" i="3" s="1"/>
  <c r="L293" i="3" s="1"/>
  <c r="I294" i="3"/>
  <c r="J294" i="3" s="1"/>
  <c r="I295" i="3"/>
  <c r="I296" i="3"/>
  <c r="I297" i="3"/>
  <c r="J297" i="3" s="1"/>
  <c r="L297" i="3" s="1"/>
  <c r="I298" i="3"/>
  <c r="J298" i="3" s="1"/>
  <c r="I299" i="3"/>
  <c r="I300" i="3"/>
  <c r="J300" i="3" s="1"/>
  <c r="I301" i="3"/>
  <c r="J301" i="3" s="1"/>
  <c r="L301" i="3" s="1"/>
  <c r="I302" i="3"/>
  <c r="J302" i="3" s="1"/>
  <c r="I303" i="3"/>
  <c r="I304" i="3"/>
  <c r="I305" i="3"/>
  <c r="J305" i="3" s="1"/>
  <c r="L305" i="3" s="1"/>
  <c r="I306" i="3"/>
  <c r="J306" i="3" s="1"/>
  <c r="I307" i="3"/>
  <c r="J307" i="3" s="1"/>
  <c r="L307" i="3" s="1"/>
  <c r="I308" i="3"/>
  <c r="J308" i="3" s="1"/>
  <c r="I309" i="3"/>
  <c r="J309" i="3" s="1"/>
  <c r="L309" i="3" s="1"/>
  <c r="I310" i="3"/>
  <c r="J310" i="3" s="1"/>
  <c r="I311" i="3"/>
  <c r="I312" i="3"/>
  <c r="I313" i="3"/>
  <c r="J313" i="3" s="1"/>
  <c r="L313" i="3" s="1"/>
  <c r="I314" i="3"/>
  <c r="J314" i="3" s="1"/>
  <c r="I315" i="3"/>
  <c r="J315" i="3" s="1"/>
  <c r="I316" i="3"/>
  <c r="J316" i="3" s="1"/>
  <c r="N316" i="3" s="1"/>
  <c r="I317" i="3"/>
  <c r="J317" i="3" s="1"/>
  <c r="I318" i="3"/>
  <c r="J318" i="3" s="1"/>
  <c r="I319" i="3"/>
  <c r="I320" i="3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I328" i="3"/>
  <c r="I329" i="3"/>
  <c r="J329" i="3" s="1"/>
  <c r="I330" i="3"/>
  <c r="J330" i="3" s="1"/>
  <c r="I331" i="3"/>
  <c r="J331" i="3" s="1"/>
  <c r="I332" i="3"/>
  <c r="J332" i="3" s="1"/>
  <c r="I333" i="3"/>
  <c r="J333" i="3" s="1"/>
  <c r="L333" i="3" s="1"/>
  <c r="I334" i="3"/>
  <c r="J334" i="3" s="1"/>
  <c r="I335" i="3"/>
  <c r="I336" i="3"/>
  <c r="I337" i="3"/>
  <c r="J337" i="3" s="1"/>
  <c r="I338" i="3"/>
  <c r="J338" i="3" s="1"/>
  <c r="I339" i="3"/>
  <c r="I340" i="3"/>
  <c r="J340" i="3" s="1"/>
  <c r="I341" i="3"/>
  <c r="J341" i="3" s="1"/>
  <c r="I342" i="3"/>
  <c r="J342" i="3" s="1"/>
  <c r="I343" i="3"/>
  <c r="I344" i="3"/>
  <c r="I345" i="3"/>
  <c r="J345" i="3" s="1"/>
  <c r="I346" i="3"/>
  <c r="J346" i="3" s="1"/>
  <c r="I347" i="3"/>
  <c r="J347" i="3" s="1"/>
  <c r="I348" i="3"/>
  <c r="I349" i="3"/>
  <c r="J349" i="3" s="1"/>
  <c r="L349" i="3" s="1"/>
  <c r="I350" i="3"/>
  <c r="J350" i="3" s="1"/>
  <c r="I351" i="3"/>
  <c r="I352" i="3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I359" i="3"/>
  <c r="I360" i="3"/>
  <c r="I361" i="3"/>
  <c r="J361" i="3" s="1"/>
  <c r="I362" i="3"/>
  <c r="J362" i="3" s="1"/>
  <c r="I363" i="3"/>
  <c r="J363" i="3" s="1"/>
  <c r="I364" i="3"/>
  <c r="J364" i="3" s="1"/>
  <c r="I365" i="3"/>
  <c r="J365" i="3" s="1"/>
  <c r="L365" i="3" s="1"/>
  <c r="I366" i="3"/>
  <c r="J366" i="3" s="1"/>
  <c r="I367" i="3"/>
  <c r="I368" i="3"/>
  <c r="I369" i="3"/>
  <c r="J369" i="3" s="1"/>
  <c r="I370" i="3"/>
  <c r="J370" i="3" s="1"/>
  <c r="I371" i="3"/>
  <c r="I372" i="3"/>
  <c r="J372" i="3" s="1"/>
  <c r="I373" i="3"/>
  <c r="J373" i="3" s="1"/>
  <c r="I374" i="3"/>
  <c r="J374" i="3" s="1"/>
  <c r="I375" i="3"/>
  <c r="I376" i="3"/>
  <c r="I377" i="3"/>
  <c r="I378" i="3"/>
  <c r="J378" i="3" s="1"/>
  <c r="I379" i="3"/>
  <c r="J379" i="3" s="1"/>
  <c r="I380" i="3"/>
  <c r="I381" i="3"/>
  <c r="J381" i="3" s="1"/>
  <c r="L381" i="3" s="1"/>
  <c r="I382" i="3"/>
  <c r="J382" i="3" s="1"/>
  <c r="I383" i="3"/>
  <c r="I384" i="3"/>
  <c r="I385" i="3"/>
  <c r="J385" i="3" s="1"/>
  <c r="I386" i="3"/>
  <c r="J386" i="3" s="1"/>
  <c r="I387" i="3"/>
  <c r="J387" i="3" s="1"/>
  <c r="N387" i="3" s="1"/>
  <c r="I388" i="3"/>
  <c r="J388" i="3" s="1"/>
  <c r="I389" i="3"/>
  <c r="J389" i="3" s="1"/>
  <c r="I390" i="3"/>
  <c r="J390" i="3" s="1"/>
  <c r="I391" i="3"/>
  <c r="I392" i="3"/>
  <c r="I393" i="3"/>
  <c r="J393" i="3" s="1"/>
  <c r="I394" i="3"/>
  <c r="J394" i="3" s="1"/>
  <c r="I395" i="3"/>
  <c r="J395" i="3" s="1"/>
  <c r="I396" i="3"/>
  <c r="J396" i="3" s="1"/>
  <c r="I397" i="3"/>
  <c r="J397" i="3" s="1"/>
  <c r="L397" i="3" s="1"/>
  <c r="I398" i="3"/>
  <c r="J398" i="3" s="1"/>
  <c r="L398" i="3" s="1"/>
  <c r="I399" i="3"/>
  <c r="I400" i="3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L406" i="3" s="1"/>
  <c r="I407" i="3"/>
  <c r="I408" i="3"/>
  <c r="I409" i="3"/>
  <c r="J409" i="3" s="1"/>
  <c r="I410" i="3"/>
  <c r="J410" i="3" s="1"/>
  <c r="I411" i="3"/>
  <c r="I412" i="3"/>
  <c r="J412" i="3" s="1"/>
  <c r="L412" i="3" s="1"/>
  <c r="I413" i="3"/>
  <c r="J413" i="3" s="1"/>
  <c r="L413" i="3" s="1"/>
  <c r="I414" i="3"/>
  <c r="J414" i="3" s="1"/>
  <c r="L414" i="3" s="1"/>
  <c r="I415" i="3"/>
  <c r="I416" i="3"/>
  <c r="I417" i="3"/>
  <c r="J417" i="3" s="1"/>
  <c r="I418" i="3"/>
  <c r="J418" i="3" s="1"/>
  <c r="I419" i="3"/>
  <c r="J419" i="3" s="1"/>
  <c r="I420" i="3"/>
  <c r="J420" i="3" s="1"/>
  <c r="L420" i="3" s="1"/>
  <c r="I421" i="3"/>
  <c r="J421" i="3" s="1"/>
  <c r="I422" i="3"/>
  <c r="J422" i="3" s="1"/>
  <c r="L422" i="3" s="1"/>
  <c r="I423" i="3"/>
  <c r="I424" i="3"/>
  <c r="I425" i="3"/>
  <c r="J425" i="3" s="1"/>
  <c r="I426" i="3"/>
  <c r="J426" i="3" s="1"/>
  <c r="I427" i="3"/>
  <c r="J427" i="3" s="1"/>
  <c r="L427" i="3" s="1"/>
  <c r="I428" i="3"/>
  <c r="J428" i="3" s="1"/>
  <c r="L428" i="3" s="1"/>
  <c r="I429" i="3"/>
  <c r="J429" i="3" s="1"/>
  <c r="I430" i="3"/>
  <c r="J430" i="3" s="1"/>
  <c r="L430" i="3" s="1"/>
  <c r="I431" i="3"/>
  <c r="I432" i="3"/>
  <c r="I433" i="3"/>
  <c r="J433" i="3" s="1"/>
  <c r="L433" i="3" s="1"/>
  <c r="I434" i="3"/>
  <c r="J434" i="3" s="1"/>
  <c r="I435" i="3"/>
  <c r="J435" i="3" s="1"/>
  <c r="I436" i="3"/>
  <c r="J436" i="3" s="1"/>
  <c r="L436" i="3" s="1"/>
  <c r="I437" i="3"/>
  <c r="J437" i="3" s="1"/>
  <c r="I438" i="3"/>
  <c r="J438" i="3" s="1"/>
  <c r="L438" i="3" s="1"/>
  <c r="I439" i="3"/>
  <c r="I440" i="3"/>
  <c r="I441" i="3"/>
  <c r="I442" i="3"/>
  <c r="J442" i="3" s="1"/>
  <c r="I443" i="3"/>
  <c r="J443" i="3" s="1"/>
  <c r="I444" i="3"/>
  <c r="J444" i="3" s="1"/>
  <c r="L444" i="3" s="1"/>
  <c r="I445" i="3"/>
  <c r="J445" i="3" s="1"/>
  <c r="I446" i="3"/>
  <c r="I447" i="3"/>
  <c r="I448" i="3"/>
  <c r="I449" i="3"/>
  <c r="J449" i="3" s="1"/>
  <c r="I450" i="3"/>
  <c r="J450" i="3" s="1"/>
  <c r="L450" i="3" s="1"/>
  <c r="I451" i="3"/>
  <c r="I452" i="3"/>
  <c r="I453" i="3"/>
  <c r="J453" i="3" s="1"/>
  <c r="L453" i="3" s="1"/>
  <c r="I454" i="3"/>
  <c r="J454" i="3" s="1"/>
  <c r="I455" i="3"/>
  <c r="I456" i="3"/>
  <c r="I457" i="3"/>
  <c r="J457" i="3" s="1"/>
  <c r="L457" i="3" s="1"/>
  <c r="I458" i="3"/>
  <c r="J458" i="3" s="1"/>
  <c r="L458" i="3" s="1"/>
  <c r="I459" i="3"/>
  <c r="J459" i="3" s="1"/>
  <c r="I460" i="3"/>
  <c r="J460" i="3" s="1"/>
  <c r="L460" i="3" s="1"/>
  <c r="I461" i="3"/>
  <c r="J461" i="3" s="1"/>
  <c r="I462" i="3"/>
  <c r="J462" i="3" s="1"/>
  <c r="I463" i="3"/>
  <c r="I464" i="3"/>
  <c r="I465" i="3"/>
  <c r="J465" i="3" s="1"/>
  <c r="L465" i="3" s="1"/>
  <c r="I466" i="3"/>
  <c r="J466" i="3" s="1"/>
  <c r="L466" i="3" s="1"/>
  <c r="I467" i="3"/>
  <c r="J467" i="3" s="1"/>
  <c r="L467" i="3" s="1"/>
  <c r="I468" i="3"/>
  <c r="J468" i="3" s="1"/>
  <c r="I469" i="3"/>
  <c r="J469" i="3" s="1"/>
  <c r="L469" i="3" s="1"/>
  <c r="I470" i="3"/>
  <c r="J470" i="3" s="1"/>
  <c r="I471" i="3"/>
  <c r="I472" i="3"/>
  <c r="I473" i="3"/>
  <c r="J473" i="3" s="1"/>
  <c r="L473" i="3" s="1"/>
  <c r="I474" i="3"/>
  <c r="J474" i="3" s="1"/>
  <c r="L474" i="3" s="1"/>
  <c r="I475" i="3"/>
  <c r="J475" i="3" s="1"/>
  <c r="I476" i="3"/>
  <c r="J476" i="3" s="1"/>
  <c r="I477" i="3"/>
  <c r="J477" i="3" s="1"/>
  <c r="I478" i="3"/>
  <c r="J478" i="3" s="1"/>
  <c r="I479" i="3"/>
  <c r="I480" i="3"/>
  <c r="I481" i="3"/>
  <c r="J481" i="3" s="1"/>
  <c r="I482" i="3"/>
  <c r="J482" i="3" s="1"/>
  <c r="L482" i="3" s="1"/>
  <c r="I483" i="3"/>
  <c r="I484" i="3"/>
  <c r="J484" i="3" s="1"/>
  <c r="I485" i="3"/>
  <c r="J485" i="3" s="1"/>
  <c r="L485" i="3" s="1"/>
  <c r="I486" i="3"/>
  <c r="J486" i="3" s="1"/>
  <c r="I487" i="3"/>
  <c r="I488" i="3"/>
  <c r="I489" i="3"/>
  <c r="J489" i="3" s="1"/>
  <c r="L489" i="3" s="1"/>
  <c r="I490" i="3"/>
  <c r="J490" i="3" s="1"/>
  <c r="L490" i="3" s="1"/>
  <c r="I491" i="3"/>
  <c r="J491" i="3" s="1"/>
  <c r="I492" i="3"/>
  <c r="I493" i="3"/>
  <c r="J493" i="3" s="1"/>
  <c r="I494" i="3"/>
  <c r="J494" i="3" s="1"/>
  <c r="I495" i="3"/>
  <c r="I496" i="3"/>
  <c r="I497" i="3"/>
  <c r="J497" i="3" s="1"/>
  <c r="I498" i="3"/>
  <c r="J498" i="3" s="1"/>
  <c r="L498" i="3" s="1"/>
  <c r="I499" i="3"/>
  <c r="J499" i="3" s="1"/>
  <c r="I500" i="3"/>
  <c r="J500" i="3" s="1"/>
  <c r="I501" i="3"/>
  <c r="J501" i="3" s="1"/>
  <c r="L501" i="3" s="1"/>
  <c r="I502" i="3"/>
  <c r="I503" i="3"/>
  <c r="I504" i="3"/>
  <c r="I505" i="3"/>
  <c r="J505" i="3" s="1"/>
  <c r="L505" i="3" s="1"/>
  <c r="I506" i="3"/>
  <c r="J506" i="3" s="1"/>
  <c r="I507" i="3"/>
  <c r="J507" i="3" s="1"/>
  <c r="I508" i="3"/>
  <c r="I509" i="3"/>
  <c r="J509" i="3" s="1"/>
  <c r="I510" i="3"/>
  <c r="J510" i="3" s="1"/>
  <c r="L510" i="3" s="1"/>
  <c r="I511" i="3"/>
  <c r="I512" i="3"/>
  <c r="I513" i="3"/>
  <c r="J513" i="3" s="1"/>
  <c r="I514" i="3"/>
  <c r="J514" i="3" s="1"/>
  <c r="L514" i="3" s="1"/>
  <c r="I515" i="3"/>
  <c r="J515" i="3" s="1"/>
  <c r="I516" i="3"/>
  <c r="J516" i="3" s="1"/>
  <c r="I517" i="3"/>
  <c r="J517" i="3" s="1"/>
  <c r="I518" i="3"/>
  <c r="I519" i="3"/>
  <c r="I520" i="3"/>
  <c r="I521" i="3"/>
  <c r="J521" i="3" s="1"/>
  <c r="L521" i="3" s="1"/>
  <c r="I522" i="3"/>
  <c r="J522" i="3" s="1"/>
  <c r="L522" i="3" s="1"/>
  <c r="I523" i="3"/>
  <c r="I524" i="3"/>
  <c r="I525" i="3"/>
  <c r="J525" i="3" s="1"/>
  <c r="I526" i="3"/>
  <c r="J526" i="3" s="1"/>
  <c r="L526" i="3" s="1"/>
  <c r="I527" i="3"/>
  <c r="I528" i="3"/>
  <c r="I529" i="3"/>
  <c r="J529" i="3" s="1"/>
  <c r="L529" i="3" s="1"/>
  <c r="I530" i="3"/>
  <c r="J530" i="3" s="1"/>
  <c r="L530" i="3" s="1"/>
  <c r="I531" i="3"/>
  <c r="J531" i="3" s="1"/>
  <c r="L531" i="3" s="1"/>
  <c r="I532" i="3"/>
  <c r="J532" i="3" s="1"/>
  <c r="I533" i="3"/>
  <c r="J533" i="3" s="1"/>
  <c r="N533" i="3" s="1"/>
  <c r="I534" i="3"/>
  <c r="J534" i="3" s="1"/>
  <c r="I535" i="3"/>
  <c r="I536" i="3"/>
  <c r="I537" i="3"/>
  <c r="J537" i="3" s="1"/>
  <c r="L537" i="3" s="1"/>
  <c r="I538" i="3"/>
  <c r="J538" i="3" s="1"/>
  <c r="L538" i="3" s="1"/>
  <c r="I539" i="3"/>
  <c r="J539" i="3" s="1"/>
  <c r="I540" i="3"/>
  <c r="J540" i="3" s="1"/>
  <c r="L540" i="3" s="1"/>
  <c r="I541" i="3"/>
  <c r="J541" i="3" s="1"/>
  <c r="I542" i="3"/>
  <c r="J542" i="3" s="1"/>
  <c r="I543" i="3"/>
  <c r="I544" i="3"/>
  <c r="I545" i="3"/>
  <c r="J545" i="3" s="1"/>
  <c r="L545" i="3" s="1"/>
  <c r="I546" i="3"/>
  <c r="J546" i="3" s="1"/>
  <c r="L546" i="3" s="1"/>
  <c r="I547" i="3"/>
  <c r="J547" i="3" s="1"/>
  <c r="I548" i="3"/>
  <c r="J548" i="3" s="1"/>
  <c r="I549" i="3"/>
  <c r="J549" i="3" s="1"/>
  <c r="I550" i="3"/>
  <c r="J550" i="3" s="1"/>
  <c r="I551" i="3"/>
  <c r="I552" i="3"/>
  <c r="I553" i="3"/>
  <c r="J553" i="3" s="1"/>
  <c r="L553" i="3" s="1"/>
  <c r="I554" i="3"/>
  <c r="J554" i="3" s="1"/>
  <c r="I555" i="3"/>
  <c r="I556" i="3"/>
  <c r="J556" i="3" s="1"/>
  <c r="I557" i="3"/>
  <c r="J557" i="3" s="1"/>
  <c r="I558" i="3"/>
  <c r="J558" i="3" s="1"/>
  <c r="I559" i="3"/>
  <c r="I560" i="3"/>
  <c r="I561" i="3"/>
  <c r="J561" i="3" s="1"/>
  <c r="I562" i="3"/>
  <c r="J562" i="3" s="1"/>
  <c r="L562" i="3" s="1"/>
  <c r="I563" i="3"/>
  <c r="J563" i="3" s="1"/>
  <c r="L563" i="3" s="1"/>
  <c r="I564" i="3"/>
  <c r="I565" i="3"/>
  <c r="J565" i="3" s="1"/>
  <c r="L565" i="3" s="1"/>
  <c r="I566" i="3"/>
  <c r="J566" i="3" s="1"/>
  <c r="I567" i="3"/>
  <c r="I568" i="3"/>
  <c r="I569" i="3"/>
  <c r="J569" i="3" s="1"/>
  <c r="I570" i="3"/>
  <c r="J570" i="3" s="1"/>
  <c r="L570" i="3" s="1"/>
  <c r="I571" i="3"/>
  <c r="J571" i="3" s="1"/>
  <c r="I572" i="3"/>
  <c r="J572" i="3" s="1"/>
  <c r="I573" i="3"/>
  <c r="J573" i="3" s="1"/>
  <c r="I574" i="3"/>
  <c r="I575" i="3"/>
  <c r="I576" i="3"/>
  <c r="J576" i="3" s="1"/>
  <c r="I577" i="3"/>
  <c r="J577" i="3" s="1"/>
  <c r="I578" i="3"/>
  <c r="J578" i="3" s="1"/>
  <c r="L578" i="3" s="1"/>
  <c r="I579" i="3"/>
  <c r="J579" i="3" s="1"/>
  <c r="I580" i="3"/>
  <c r="J580" i="3" s="1"/>
  <c r="I581" i="3"/>
  <c r="J581" i="3" s="1"/>
  <c r="I582" i="3"/>
  <c r="J582" i="3" s="1"/>
  <c r="L582" i="3" s="1"/>
  <c r="I583" i="3"/>
  <c r="I584" i="3"/>
  <c r="J584" i="3" s="1"/>
  <c r="L584" i="3" s="1"/>
  <c r="I585" i="3"/>
  <c r="J585" i="3" s="1"/>
  <c r="I586" i="3"/>
  <c r="J586" i="3" s="1"/>
  <c r="L586" i="3" s="1"/>
  <c r="I587" i="3"/>
  <c r="J587" i="3" s="1"/>
  <c r="I588" i="3"/>
  <c r="J588" i="3" s="1"/>
  <c r="I589" i="3"/>
  <c r="J589" i="3" s="1"/>
  <c r="I590" i="3"/>
  <c r="J590" i="3" s="1"/>
  <c r="L590" i="3" s="1"/>
  <c r="I591" i="3"/>
  <c r="I592" i="3"/>
  <c r="J592" i="3" s="1"/>
  <c r="I593" i="3"/>
  <c r="J593" i="3" s="1"/>
  <c r="I594" i="3"/>
  <c r="J594" i="3" s="1"/>
  <c r="L594" i="3" s="1"/>
  <c r="I595" i="3"/>
  <c r="J595" i="3" s="1"/>
  <c r="I596" i="3"/>
  <c r="J596" i="3" s="1"/>
  <c r="I597" i="3"/>
  <c r="J597" i="3" s="1"/>
  <c r="I598" i="3"/>
  <c r="I599" i="3"/>
  <c r="I600" i="3"/>
  <c r="J600" i="3" s="1"/>
  <c r="L600" i="3" s="1"/>
  <c r="I601" i="3"/>
  <c r="J601" i="3" s="1"/>
  <c r="I602" i="3"/>
  <c r="J602" i="3" s="1"/>
  <c r="L602" i="3" s="1"/>
  <c r="I603" i="3"/>
  <c r="J603" i="3" s="1"/>
  <c r="I604" i="3"/>
  <c r="J604" i="3" s="1"/>
  <c r="I605" i="3"/>
  <c r="I606" i="3"/>
  <c r="J606" i="3" s="1"/>
  <c r="L606" i="3" s="1"/>
  <c r="I607" i="3"/>
  <c r="I608" i="3"/>
  <c r="J608" i="3" s="1"/>
  <c r="I609" i="3"/>
  <c r="J609" i="3" s="1"/>
  <c r="I610" i="3"/>
  <c r="J610" i="3" s="1"/>
  <c r="L610" i="3" s="1"/>
  <c r="I611" i="3"/>
  <c r="J611" i="3" s="1"/>
  <c r="I612" i="3"/>
  <c r="J612" i="3" s="1"/>
  <c r="I613" i="3"/>
  <c r="J613" i="3" s="1"/>
  <c r="I614" i="3"/>
  <c r="J614" i="3" s="1"/>
  <c r="L614" i="3" s="1"/>
  <c r="I615" i="3"/>
  <c r="I616" i="3"/>
  <c r="J616" i="3" s="1"/>
  <c r="I617" i="3"/>
  <c r="I618" i="3"/>
  <c r="J618" i="3" s="1"/>
  <c r="L618" i="3" s="1"/>
  <c r="I619" i="3"/>
  <c r="J619" i="3" s="1"/>
  <c r="I620" i="3"/>
  <c r="J620" i="3" s="1"/>
  <c r="I621" i="3"/>
  <c r="J621" i="3" s="1"/>
  <c r="I622" i="3"/>
  <c r="J622" i="3" s="1"/>
  <c r="L622" i="3" s="1"/>
  <c r="I623" i="3"/>
  <c r="I624" i="3"/>
  <c r="J624" i="3" s="1"/>
  <c r="I625" i="3"/>
  <c r="J625" i="3" s="1"/>
  <c r="I626" i="3"/>
  <c r="J626" i="3" s="1"/>
  <c r="L626" i="3" s="1"/>
  <c r="I627" i="3"/>
  <c r="J627" i="3" s="1"/>
  <c r="I628" i="3"/>
  <c r="J628" i="3" s="1"/>
  <c r="I629" i="3"/>
  <c r="J629" i="3" s="1"/>
  <c r="I630" i="3"/>
  <c r="J630" i="3" s="1"/>
  <c r="L630" i="3" s="1"/>
  <c r="I631" i="3"/>
  <c r="I632" i="3"/>
  <c r="J632" i="3" s="1"/>
  <c r="L632" i="3" s="1"/>
  <c r="I633" i="3"/>
  <c r="J633" i="3" s="1"/>
  <c r="I634" i="3"/>
  <c r="J634" i="3" s="1"/>
  <c r="L634" i="3" s="1"/>
  <c r="I635" i="3"/>
  <c r="J635" i="3" s="1"/>
  <c r="I636" i="3"/>
  <c r="J636" i="3" s="1"/>
  <c r="L636" i="3" s="1"/>
  <c r="I637" i="3"/>
  <c r="J637" i="3" s="1"/>
  <c r="I638" i="3"/>
  <c r="J638" i="3" s="1"/>
  <c r="L638" i="3" s="1"/>
  <c r="I639" i="3"/>
  <c r="I640" i="3"/>
  <c r="J640" i="3" s="1"/>
  <c r="I641" i="3"/>
  <c r="J641" i="3" s="1"/>
  <c r="I642" i="3"/>
  <c r="J642" i="3" s="1"/>
  <c r="L642" i="3" s="1"/>
  <c r="I643" i="3"/>
  <c r="I644" i="3"/>
  <c r="J644" i="3" s="1"/>
  <c r="L644" i="3" s="1"/>
  <c r="I645" i="3"/>
  <c r="J645" i="3" s="1"/>
  <c r="I646" i="3"/>
  <c r="J646" i="3" s="1"/>
  <c r="L646" i="3" s="1"/>
  <c r="I647" i="3"/>
  <c r="I648" i="3"/>
  <c r="J648" i="3" s="1"/>
  <c r="I649" i="3"/>
  <c r="J649" i="3" s="1"/>
  <c r="I650" i="3"/>
  <c r="J650" i="3" s="1"/>
  <c r="L650" i="3" s="1"/>
  <c r="I651" i="3"/>
  <c r="J651" i="3" s="1"/>
  <c r="I652" i="3"/>
  <c r="J652" i="3" s="1"/>
  <c r="I653" i="3"/>
  <c r="J653" i="3" s="1"/>
  <c r="I654" i="3"/>
  <c r="J654" i="3" s="1"/>
  <c r="L654" i="3" s="1"/>
  <c r="I655" i="3"/>
  <c r="I656" i="3"/>
  <c r="J656" i="3" s="1"/>
  <c r="I657" i="3"/>
  <c r="J657" i="3" s="1"/>
  <c r="I658" i="3"/>
  <c r="J658" i="3" s="1"/>
  <c r="L658" i="3" s="1"/>
  <c r="I659" i="3"/>
  <c r="J659" i="3" s="1"/>
  <c r="I660" i="3"/>
  <c r="J660" i="3" s="1"/>
  <c r="I661" i="3"/>
  <c r="J661" i="3" s="1"/>
  <c r="I662" i="3"/>
  <c r="J662" i="3" s="1"/>
  <c r="L662" i="3" s="1"/>
  <c r="I663" i="3"/>
  <c r="I664" i="3"/>
  <c r="J664" i="3" s="1"/>
  <c r="L664" i="3" s="1"/>
  <c r="I665" i="3"/>
  <c r="J665" i="3" s="1"/>
  <c r="I666" i="3"/>
  <c r="J666" i="3" s="1"/>
  <c r="L666" i="3" s="1"/>
  <c r="I667" i="3"/>
  <c r="I668" i="3"/>
  <c r="J668" i="3" s="1"/>
  <c r="L668" i="3" s="1"/>
  <c r="I669" i="3"/>
  <c r="J669" i="3" s="1"/>
  <c r="I670" i="3"/>
  <c r="J670" i="3" s="1"/>
  <c r="L670" i="3" s="1"/>
  <c r="I671" i="3"/>
  <c r="I672" i="3"/>
  <c r="J672" i="3" s="1"/>
  <c r="L672" i="3" s="1"/>
  <c r="I673" i="3"/>
  <c r="J673" i="3" s="1"/>
  <c r="I674" i="3"/>
  <c r="J674" i="3" s="1"/>
  <c r="L674" i="3" s="1"/>
  <c r="I675" i="3"/>
  <c r="J675" i="3" s="1"/>
  <c r="I676" i="3"/>
  <c r="J676" i="3" s="1"/>
  <c r="L676" i="3" s="1"/>
  <c r="I677" i="3"/>
  <c r="J677" i="3" s="1"/>
  <c r="I678" i="3"/>
  <c r="J678" i="3" s="1"/>
  <c r="L678" i="3" s="1"/>
  <c r="I679" i="3"/>
  <c r="I680" i="3"/>
  <c r="J680" i="3" s="1"/>
  <c r="L680" i="3" s="1"/>
  <c r="I681" i="3"/>
  <c r="J681" i="3" s="1"/>
  <c r="I682" i="3"/>
  <c r="J682" i="3" s="1"/>
  <c r="L682" i="3" s="1"/>
  <c r="I683" i="3"/>
  <c r="J683" i="3" s="1"/>
  <c r="I684" i="3"/>
  <c r="J684" i="3" s="1"/>
  <c r="L684" i="3" s="1"/>
  <c r="I685" i="3"/>
  <c r="J685" i="3" s="1"/>
  <c r="I686" i="3"/>
  <c r="J686" i="3" s="1"/>
  <c r="L686" i="3" s="1"/>
  <c r="I687" i="3"/>
  <c r="I688" i="3"/>
  <c r="J688" i="3" s="1"/>
  <c r="L688" i="3" s="1"/>
  <c r="I689" i="3"/>
  <c r="J689" i="3" s="1"/>
  <c r="I690" i="3"/>
  <c r="J690" i="3" s="1"/>
  <c r="L690" i="3" s="1"/>
  <c r="I691" i="3"/>
  <c r="I692" i="3"/>
  <c r="J692" i="3" s="1"/>
  <c r="L692" i="3" s="1"/>
  <c r="I693" i="3"/>
  <c r="J693" i="3" s="1"/>
  <c r="I694" i="3"/>
  <c r="J694" i="3" s="1"/>
  <c r="L694" i="3" s="1"/>
  <c r="I695" i="3"/>
  <c r="I696" i="3"/>
  <c r="J696" i="3" s="1"/>
  <c r="L696" i="3" s="1"/>
  <c r="I697" i="3"/>
  <c r="J697" i="3" s="1"/>
  <c r="I698" i="3"/>
  <c r="J698" i="3" s="1"/>
  <c r="L698" i="3" s="1"/>
  <c r="I699" i="3"/>
  <c r="J699" i="3" s="1"/>
  <c r="I700" i="3"/>
  <c r="J700" i="3" s="1"/>
  <c r="L700" i="3" s="1"/>
  <c r="I701" i="3"/>
  <c r="J701" i="3" s="1"/>
  <c r="I702" i="3"/>
  <c r="J702" i="3" s="1"/>
  <c r="L702" i="3" s="1"/>
  <c r="I703" i="3"/>
  <c r="I704" i="3"/>
  <c r="J704" i="3" s="1"/>
  <c r="L704" i="3" s="1"/>
  <c r="I705" i="3"/>
  <c r="J705" i="3" s="1"/>
  <c r="I706" i="3"/>
  <c r="J706" i="3" s="1"/>
  <c r="L706" i="3" s="1"/>
  <c r="I707" i="3"/>
  <c r="J707" i="3" s="1"/>
  <c r="I708" i="3"/>
  <c r="J708" i="3" s="1"/>
  <c r="L708" i="3" s="1"/>
  <c r="I709" i="3"/>
  <c r="J709" i="3" s="1"/>
  <c r="I710" i="3"/>
  <c r="I711" i="3"/>
  <c r="I712" i="3"/>
  <c r="J712" i="3" s="1"/>
  <c r="L712" i="3" s="1"/>
  <c r="I713" i="3"/>
  <c r="J713" i="3" s="1"/>
  <c r="I714" i="3"/>
  <c r="J714" i="3" s="1"/>
  <c r="L714" i="3" s="1"/>
  <c r="I715" i="3"/>
  <c r="I716" i="3"/>
  <c r="J716" i="3" s="1"/>
  <c r="L716" i="3" s="1"/>
  <c r="I717" i="3"/>
  <c r="J717" i="3" s="1"/>
  <c r="I718" i="3"/>
  <c r="J718" i="3" s="1"/>
  <c r="L718" i="3" s="1"/>
  <c r="I719" i="3"/>
  <c r="I720" i="3"/>
  <c r="J720" i="3" s="1"/>
  <c r="L720" i="3" s="1"/>
  <c r="I721" i="3"/>
  <c r="J721" i="3" s="1"/>
  <c r="I722" i="3"/>
  <c r="J722" i="3" s="1"/>
  <c r="L722" i="3" s="1"/>
  <c r="I723" i="3"/>
  <c r="J723" i="3" s="1"/>
  <c r="I724" i="3"/>
  <c r="J724" i="3" s="1"/>
  <c r="L724" i="3" s="1"/>
  <c r="I725" i="3"/>
  <c r="J725" i="3" s="1"/>
  <c r="I726" i="3"/>
  <c r="J726" i="3" s="1"/>
  <c r="L726" i="3" s="1"/>
  <c r="I727" i="3"/>
  <c r="I728" i="3"/>
  <c r="J728" i="3" s="1"/>
  <c r="L728" i="3" s="1"/>
  <c r="I729" i="3"/>
  <c r="J729" i="3" s="1"/>
  <c r="I730" i="3"/>
  <c r="J730" i="3" s="1"/>
  <c r="L730" i="3" s="1"/>
  <c r="I731" i="3"/>
  <c r="J731" i="3" s="1"/>
  <c r="I732" i="3"/>
  <c r="J732" i="3" s="1"/>
  <c r="L732" i="3" s="1"/>
  <c r="I733" i="3"/>
  <c r="J733" i="3" s="1"/>
  <c r="I734" i="3"/>
  <c r="I735" i="3"/>
  <c r="I736" i="3"/>
  <c r="J736" i="3" s="1"/>
  <c r="L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I752" i="3"/>
  <c r="J752" i="3" s="1"/>
  <c r="I753" i="3"/>
  <c r="J753" i="3" s="1"/>
  <c r="I754" i="3"/>
  <c r="J754" i="3" s="1"/>
  <c r="L754" i="3" s="1"/>
  <c r="I755" i="3"/>
  <c r="J755" i="3" s="1"/>
  <c r="I756" i="3"/>
  <c r="J756" i="3" s="1"/>
  <c r="I757" i="3"/>
  <c r="J757" i="3" s="1"/>
  <c r="I758" i="3"/>
  <c r="I759" i="3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I768" i="3"/>
  <c r="J768" i="3" s="1"/>
  <c r="N768" i="3" s="1"/>
  <c r="I769" i="3"/>
  <c r="J769" i="3" s="1"/>
  <c r="I770" i="3"/>
  <c r="J770" i="3" s="1"/>
  <c r="L770" i="3" s="1"/>
  <c r="I771" i="3"/>
  <c r="J771" i="3" s="1"/>
  <c r="I772" i="3"/>
  <c r="J772" i="3" s="1"/>
  <c r="I773" i="3"/>
  <c r="J773" i="3" s="1"/>
  <c r="I774" i="3"/>
  <c r="J774" i="3" s="1"/>
  <c r="L774" i="3" s="1"/>
  <c r="I775" i="3"/>
  <c r="I776" i="3"/>
  <c r="J776" i="3" s="1"/>
  <c r="L776" i="3" s="1"/>
  <c r="I777" i="3"/>
  <c r="J777" i="3" s="1"/>
  <c r="L777" i="3" s="1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I784" i="3"/>
  <c r="J784" i="3" s="1"/>
  <c r="L784" i="3" s="1"/>
  <c r="I785" i="3"/>
  <c r="J785" i="3" s="1"/>
  <c r="L785" i="3" s="1"/>
  <c r="I786" i="3"/>
  <c r="J786" i="3" s="1"/>
  <c r="I787" i="3"/>
  <c r="J787" i="3" s="1"/>
  <c r="I788" i="3"/>
  <c r="J788" i="3" s="1"/>
  <c r="I789" i="3"/>
  <c r="J789" i="3" s="1"/>
  <c r="I790" i="3"/>
  <c r="J790" i="3" s="1"/>
  <c r="L790" i="3" s="1"/>
  <c r="I791" i="3"/>
  <c r="I792" i="3"/>
  <c r="J792" i="3" s="1"/>
  <c r="I793" i="3"/>
  <c r="J793" i="3" s="1"/>
  <c r="L793" i="3" s="1"/>
  <c r="I794" i="3"/>
  <c r="J794" i="3" s="1"/>
  <c r="I795" i="3"/>
  <c r="J795" i="3" s="1"/>
  <c r="I796" i="3"/>
  <c r="J796" i="3" s="1"/>
  <c r="I797" i="3"/>
  <c r="J797" i="3" s="1"/>
  <c r="I798" i="3"/>
  <c r="J798" i="3" s="1"/>
  <c r="N798" i="3" s="1"/>
  <c r="I799" i="3"/>
  <c r="I800" i="3"/>
  <c r="I801" i="3"/>
  <c r="J801" i="3" s="1"/>
  <c r="L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I808" i="3"/>
  <c r="I809" i="3"/>
  <c r="J809" i="3" s="1"/>
  <c r="L809" i="3" s="1"/>
  <c r="I810" i="3"/>
  <c r="J810" i="3" s="1"/>
  <c r="I811" i="3"/>
  <c r="I812" i="3"/>
  <c r="J812" i="3" s="1"/>
  <c r="I813" i="3"/>
  <c r="J813" i="3" s="1"/>
  <c r="I814" i="3"/>
  <c r="J814" i="3" s="1"/>
  <c r="N814" i="3" s="1"/>
  <c r="I815" i="3"/>
  <c r="I816" i="3"/>
  <c r="I817" i="3"/>
  <c r="I818" i="3"/>
  <c r="J818" i="3" s="1"/>
  <c r="I819" i="3"/>
  <c r="J819" i="3" s="1"/>
  <c r="I820" i="3"/>
  <c r="J820" i="3" s="1"/>
  <c r="L820" i="3" s="1"/>
  <c r="I821" i="3"/>
  <c r="J821" i="3" s="1"/>
  <c r="I822" i="3"/>
  <c r="J822" i="3" s="1"/>
  <c r="I823" i="3"/>
  <c r="I824" i="3"/>
  <c r="I825" i="3"/>
  <c r="J825" i="3" s="1"/>
  <c r="L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I832" i="3"/>
  <c r="I833" i="3"/>
  <c r="J833" i="3" s="1"/>
  <c r="L833" i="3" s="1"/>
  <c r="I834" i="3"/>
  <c r="J834" i="3" s="1"/>
  <c r="N834" i="3" s="1"/>
  <c r="I835" i="3"/>
  <c r="J835" i="3" s="1"/>
  <c r="I836" i="3"/>
  <c r="J836" i="3" s="1"/>
  <c r="I837" i="3"/>
  <c r="J837" i="3" s="1"/>
  <c r="I838" i="3"/>
  <c r="J838" i="3" s="1"/>
  <c r="I839" i="3"/>
  <c r="I840" i="3"/>
  <c r="I841" i="3"/>
  <c r="J841" i="3" s="1"/>
  <c r="L841" i="3" s="1"/>
  <c r="I842" i="3"/>
  <c r="J842" i="3" s="1"/>
  <c r="I843" i="3"/>
  <c r="J843" i="3" s="1"/>
  <c r="I844" i="3"/>
  <c r="J844" i="3" s="1"/>
  <c r="I845" i="3"/>
  <c r="J845" i="3" s="1"/>
  <c r="I846" i="3"/>
  <c r="J846" i="3" s="1"/>
  <c r="I847" i="3"/>
  <c r="I848" i="3"/>
  <c r="I849" i="3"/>
  <c r="J849" i="3" s="1"/>
  <c r="L849" i="3" s="1"/>
  <c r="I850" i="3"/>
  <c r="J850" i="3" s="1"/>
  <c r="I851" i="3"/>
  <c r="I852" i="3"/>
  <c r="J852" i="3" s="1"/>
  <c r="L852" i="3" s="1"/>
  <c r="I853" i="3"/>
  <c r="J853" i="3" s="1"/>
  <c r="I854" i="3"/>
  <c r="I855" i="3"/>
  <c r="I856" i="3"/>
  <c r="I857" i="3"/>
  <c r="J857" i="3" s="1"/>
  <c r="L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I864" i="3"/>
  <c r="I865" i="3"/>
  <c r="J865" i="3" s="1"/>
  <c r="L865" i="3" s="1"/>
  <c r="I866" i="3"/>
  <c r="J866" i="3" s="1"/>
  <c r="N866" i="3" s="1"/>
  <c r="I867" i="3"/>
  <c r="J867" i="3" s="1"/>
  <c r="I868" i="3"/>
  <c r="J868" i="3" s="1"/>
  <c r="I869" i="3"/>
  <c r="J869" i="3" s="1"/>
  <c r="I870" i="3"/>
  <c r="I871" i="3"/>
  <c r="I872" i="3"/>
  <c r="I873" i="3"/>
  <c r="J873" i="3" s="1"/>
  <c r="L873" i="3" s="1"/>
  <c r="I874" i="3"/>
  <c r="J874" i="3" s="1"/>
  <c r="N874" i="3" s="1"/>
  <c r="I875" i="3"/>
  <c r="J875" i="3" s="1"/>
  <c r="I876" i="3"/>
  <c r="J876" i="3" s="1"/>
  <c r="I877" i="3"/>
  <c r="J877" i="3" s="1"/>
  <c r="I878" i="3"/>
  <c r="J878" i="3" s="1"/>
  <c r="I879" i="3"/>
  <c r="I880" i="3"/>
  <c r="I881" i="3"/>
  <c r="I882" i="3"/>
  <c r="J882" i="3" s="1"/>
  <c r="I883" i="3"/>
  <c r="J883" i="3" s="1"/>
  <c r="I884" i="3"/>
  <c r="J884" i="3" s="1"/>
  <c r="L884" i="3" s="1"/>
  <c r="I885" i="3"/>
  <c r="J885" i="3" s="1"/>
  <c r="I886" i="3"/>
  <c r="J886" i="3" s="1"/>
  <c r="I887" i="3"/>
  <c r="I888" i="3"/>
  <c r="I889" i="3"/>
  <c r="J889" i="3" s="1"/>
  <c r="I890" i="3"/>
  <c r="J890" i="3" s="1"/>
  <c r="I891" i="3"/>
  <c r="I892" i="3"/>
  <c r="J892" i="3" s="1"/>
  <c r="I893" i="3"/>
  <c r="J893" i="3" s="1"/>
  <c r="L893" i="3" s="1"/>
  <c r="I894" i="3"/>
  <c r="J894" i="3" s="1"/>
  <c r="I895" i="3"/>
  <c r="I896" i="3"/>
  <c r="I897" i="3"/>
  <c r="J897" i="3" s="1"/>
  <c r="I898" i="3"/>
  <c r="J898" i="3" s="1"/>
  <c r="L898" i="3" s="1"/>
  <c r="I899" i="3"/>
  <c r="J899" i="3" s="1"/>
  <c r="I900" i="3"/>
  <c r="J900" i="3" s="1"/>
  <c r="I901" i="3"/>
  <c r="J901" i="3" s="1"/>
  <c r="I902" i="3"/>
  <c r="I903" i="3"/>
  <c r="I904" i="3"/>
  <c r="I905" i="3"/>
  <c r="J905" i="3" s="1"/>
  <c r="L905" i="3" s="1"/>
  <c r="I906" i="3"/>
  <c r="J906" i="3" s="1"/>
  <c r="I907" i="3"/>
  <c r="J907" i="3" s="1"/>
  <c r="L907" i="3" s="1"/>
  <c r="I908" i="3"/>
  <c r="J908" i="3" s="1"/>
  <c r="I909" i="3"/>
  <c r="J909" i="3" s="1"/>
  <c r="L909" i="3" s="1"/>
  <c r="I910" i="3"/>
  <c r="J910" i="3" s="1"/>
  <c r="I911" i="3"/>
  <c r="I912" i="3"/>
  <c r="I913" i="3"/>
  <c r="J913" i="3" s="1"/>
  <c r="I914" i="3"/>
  <c r="J914" i="3" s="1"/>
  <c r="I915" i="3"/>
  <c r="J915" i="3" s="1"/>
  <c r="I916" i="3"/>
  <c r="J916" i="3" s="1"/>
  <c r="I917" i="3"/>
  <c r="J917" i="3" s="1"/>
  <c r="I918" i="3"/>
  <c r="I919" i="3"/>
  <c r="I920" i="3"/>
  <c r="I921" i="3"/>
  <c r="J921" i="3" s="1"/>
  <c r="L921" i="3" s="1"/>
  <c r="I922" i="3"/>
  <c r="J922" i="3" s="1"/>
  <c r="I923" i="3"/>
  <c r="I924" i="3"/>
  <c r="J924" i="3" s="1"/>
  <c r="I925" i="3"/>
  <c r="J925" i="3" s="1"/>
  <c r="I926" i="3"/>
  <c r="J926" i="3" s="1"/>
  <c r="I927" i="3"/>
  <c r="I928" i="3"/>
  <c r="I929" i="3"/>
  <c r="J929" i="3" s="1"/>
  <c r="I930" i="3"/>
  <c r="J930" i="3" s="1"/>
  <c r="I931" i="3"/>
  <c r="J931" i="3" s="1"/>
  <c r="L931" i="3" s="1"/>
  <c r="I932" i="3"/>
  <c r="J932" i="3" s="1"/>
  <c r="L932" i="3" s="1"/>
  <c r="I933" i="3"/>
  <c r="J933" i="3" s="1"/>
  <c r="I934" i="3"/>
  <c r="J934" i="3" s="1"/>
  <c r="I935" i="3"/>
  <c r="I936" i="3"/>
  <c r="I937" i="3"/>
  <c r="J937" i="3" s="1"/>
  <c r="I938" i="3"/>
  <c r="J938" i="3" s="1"/>
  <c r="I939" i="3"/>
  <c r="J939" i="3" s="1"/>
  <c r="I940" i="3"/>
  <c r="J940" i="3" s="1"/>
  <c r="I942" i="3"/>
  <c r="J942" i="3" s="1"/>
  <c r="I943" i="3"/>
  <c r="I944" i="3"/>
  <c r="I945" i="3"/>
  <c r="J945" i="3" s="1"/>
  <c r="I946" i="3"/>
  <c r="J946" i="3" s="1"/>
  <c r="L946" i="3" s="1"/>
  <c r="I947" i="3"/>
  <c r="J947" i="3" s="1"/>
  <c r="I948" i="3"/>
  <c r="J948" i="3" s="1"/>
  <c r="I949" i="3"/>
  <c r="J949" i="3" s="1"/>
  <c r="I950" i="3"/>
  <c r="J950" i="3" s="1"/>
  <c r="I951" i="3"/>
  <c r="I952" i="3"/>
  <c r="I953" i="3"/>
  <c r="J953" i="3" s="1"/>
  <c r="I954" i="3"/>
  <c r="J954" i="3" s="1"/>
  <c r="I955" i="3"/>
  <c r="J955" i="3" s="1"/>
  <c r="L955" i="3" s="1"/>
  <c r="I956" i="3"/>
  <c r="J956" i="3" s="1"/>
  <c r="L956" i="3" s="1"/>
  <c r="I957" i="3"/>
  <c r="J957" i="3" s="1"/>
  <c r="L957" i="3" s="1"/>
  <c r="I958" i="3"/>
  <c r="J958" i="3" s="1"/>
  <c r="J68" i="3"/>
  <c r="J69" i="3"/>
  <c r="J574" i="3"/>
  <c r="L574" i="3" s="1"/>
  <c r="J575" i="3"/>
  <c r="J583" i="3"/>
  <c r="J591" i="3"/>
  <c r="J598" i="3"/>
  <c r="L598" i="3" s="1"/>
  <c r="J599" i="3"/>
  <c r="J605" i="3"/>
  <c r="J607" i="3"/>
  <c r="J615" i="3"/>
  <c r="J617" i="3"/>
  <c r="J623" i="3"/>
  <c r="J631" i="3"/>
  <c r="J639" i="3"/>
  <c r="J643" i="3"/>
  <c r="J647" i="3"/>
  <c r="J655" i="3"/>
  <c r="J663" i="3"/>
  <c r="J667" i="3"/>
  <c r="J671" i="3"/>
  <c r="J679" i="3"/>
  <c r="J687" i="3"/>
  <c r="J691" i="3"/>
  <c r="J695" i="3"/>
  <c r="J703" i="3"/>
  <c r="J710" i="3"/>
  <c r="L710" i="3" s="1"/>
  <c r="J711" i="3"/>
  <c r="J715" i="3"/>
  <c r="J719" i="3"/>
  <c r="J727" i="3"/>
  <c r="J734" i="3"/>
  <c r="L734" i="3" s="1"/>
  <c r="J735" i="3"/>
  <c r="J743" i="3"/>
  <c r="J751" i="3"/>
  <c r="J758" i="3"/>
  <c r="L758" i="3" s="1"/>
  <c r="J759" i="3"/>
  <c r="J767" i="3"/>
  <c r="J775" i="3"/>
  <c r="L775" i="3" s="1"/>
  <c r="J783" i="3"/>
  <c r="J791" i="3"/>
  <c r="J799" i="3"/>
  <c r="L799" i="3" s="1"/>
  <c r="J800" i="3"/>
  <c r="J807" i="3"/>
  <c r="L807" i="3" s="1"/>
  <c r="J808" i="3"/>
  <c r="J811" i="3"/>
  <c r="J815" i="3"/>
  <c r="L815" i="3" s="1"/>
  <c r="J816" i="3"/>
  <c r="J817" i="3"/>
  <c r="L817" i="3" s="1"/>
  <c r="J823" i="3"/>
  <c r="L823" i="3" s="1"/>
  <c r="J824" i="3"/>
  <c r="J831" i="3"/>
  <c r="L831" i="3" s="1"/>
  <c r="J832" i="3"/>
  <c r="J839" i="3"/>
  <c r="L839" i="3" s="1"/>
  <c r="J840" i="3"/>
  <c r="J847" i="3"/>
  <c r="L847" i="3" s="1"/>
  <c r="J848" i="3"/>
  <c r="N848" i="3" s="1"/>
  <c r="J851" i="3"/>
  <c r="J854" i="3"/>
  <c r="L854" i="3" s="1"/>
  <c r="J855" i="3"/>
  <c r="L855" i="3" s="1"/>
  <c r="J856" i="3"/>
  <c r="J863" i="3"/>
  <c r="L863" i="3" s="1"/>
  <c r="J864" i="3"/>
  <c r="J870" i="3"/>
  <c r="J871" i="3"/>
  <c r="L871" i="3" s="1"/>
  <c r="J872" i="3"/>
  <c r="J879" i="3"/>
  <c r="L879" i="3" s="1"/>
  <c r="J880" i="3"/>
  <c r="N880" i="3" s="1"/>
  <c r="J881" i="3"/>
  <c r="J887" i="3"/>
  <c r="J888" i="3"/>
  <c r="J891" i="3"/>
  <c r="L891" i="3" s="1"/>
  <c r="J895" i="3"/>
  <c r="L895" i="3" s="1"/>
  <c r="J896" i="3"/>
  <c r="J902" i="3"/>
  <c r="L902" i="3" s="1"/>
  <c r="J903" i="3"/>
  <c r="L903" i="3" s="1"/>
  <c r="J904" i="3"/>
  <c r="J911" i="3"/>
  <c r="J912" i="3"/>
  <c r="J918" i="3"/>
  <c r="L918" i="3" s="1"/>
  <c r="J919" i="3"/>
  <c r="J920" i="3"/>
  <c r="J923" i="3"/>
  <c r="J927" i="3"/>
  <c r="J928" i="3"/>
  <c r="J935" i="3"/>
  <c r="J936" i="3"/>
  <c r="J943" i="3"/>
  <c r="L943" i="3" s="1"/>
  <c r="J944" i="3"/>
  <c r="J951" i="3"/>
  <c r="J952" i="3"/>
  <c r="J3" i="3"/>
  <c r="J4" i="3"/>
  <c r="J5" i="3"/>
  <c r="J6" i="3"/>
  <c r="L6" i="3" s="1"/>
  <c r="J11" i="3"/>
  <c r="J12" i="3"/>
  <c r="L12" i="3" s="1"/>
  <c r="J13" i="3"/>
  <c r="J14" i="3"/>
  <c r="L14" i="3" s="1"/>
  <c r="J19" i="3"/>
  <c r="J20" i="3"/>
  <c r="J21" i="3"/>
  <c r="J22" i="3"/>
  <c r="L22" i="3" s="1"/>
  <c r="J27" i="3"/>
  <c r="J28" i="3"/>
  <c r="L28" i="3" s="1"/>
  <c r="J29" i="3"/>
  <c r="J30" i="3"/>
  <c r="L30" i="3" s="1"/>
  <c r="J35" i="3"/>
  <c r="J36" i="3"/>
  <c r="J37" i="3"/>
  <c r="J38" i="3"/>
  <c r="L38" i="3" s="1"/>
  <c r="J39" i="3"/>
  <c r="J43" i="3"/>
  <c r="J44" i="3"/>
  <c r="L44" i="3" s="1"/>
  <c r="J45" i="3"/>
  <c r="J46" i="3"/>
  <c r="L46" i="3" s="1"/>
  <c r="J51" i="3"/>
  <c r="J52" i="3"/>
  <c r="J53" i="3"/>
  <c r="J54" i="3"/>
  <c r="L54" i="3" s="1"/>
  <c r="J59" i="3"/>
  <c r="J60" i="3"/>
  <c r="L60" i="3" s="1"/>
  <c r="J61" i="3"/>
  <c r="J62" i="3"/>
  <c r="L62" i="3" s="1"/>
  <c r="J67" i="3"/>
  <c r="J70" i="3"/>
  <c r="L70" i="3" s="1"/>
  <c r="J75" i="3"/>
  <c r="J76" i="3"/>
  <c r="L76" i="3" s="1"/>
  <c r="J77" i="3"/>
  <c r="J78" i="3"/>
  <c r="L78" i="3" s="1"/>
  <c r="J83" i="3"/>
  <c r="J84" i="3"/>
  <c r="J85" i="3"/>
  <c r="J86" i="3"/>
  <c r="L86" i="3" s="1"/>
  <c r="J87" i="3"/>
  <c r="J91" i="3"/>
  <c r="J92" i="3"/>
  <c r="L92" i="3" s="1"/>
  <c r="J93" i="3"/>
  <c r="J101" i="3"/>
  <c r="J102" i="3"/>
  <c r="L102" i="3" s="1"/>
  <c r="J103" i="3"/>
  <c r="J109" i="3"/>
  <c r="J110" i="3"/>
  <c r="L110" i="3" s="1"/>
  <c r="J111" i="3"/>
  <c r="J117" i="3"/>
  <c r="J118" i="3"/>
  <c r="L118" i="3" s="1"/>
  <c r="J119" i="3"/>
  <c r="J125" i="3"/>
  <c r="J126" i="3"/>
  <c r="J127" i="3"/>
  <c r="J133" i="3"/>
  <c r="J134" i="3"/>
  <c r="L134" i="3" s="1"/>
  <c r="J135" i="3"/>
  <c r="J137" i="3"/>
  <c r="J141" i="3"/>
  <c r="J142" i="3"/>
  <c r="L142" i="3" s="1"/>
  <c r="J143" i="3"/>
  <c r="J149" i="3"/>
  <c r="J151" i="3"/>
  <c r="J152" i="3"/>
  <c r="L152" i="3" s="1"/>
  <c r="J158" i="3"/>
  <c r="L158" i="3" s="1"/>
  <c r="J159" i="3"/>
  <c r="L159" i="3" s="1"/>
  <c r="J160" i="3"/>
  <c r="L160" i="3" s="1"/>
  <c r="J165" i="3"/>
  <c r="J166" i="3"/>
  <c r="J167" i="3"/>
  <c r="J168" i="3"/>
  <c r="J174" i="3"/>
  <c r="J175" i="3"/>
  <c r="L175" i="3" s="1"/>
  <c r="J176" i="3"/>
  <c r="J181" i="3"/>
  <c r="L181" i="3" s="1"/>
  <c r="J182" i="3"/>
  <c r="J183" i="3"/>
  <c r="L183" i="3" s="1"/>
  <c r="J184" i="3"/>
  <c r="J190" i="3"/>
  <c r="J191" i="3"/>
  <c r="L191" i="3" s="1"/>
  <c r="J192" i="3"/>
  <c r="J198" i="3"/>
  <c r="J199" i="3"/>
  <c r="L199" i="3" s="1"/>
  <c r="J200" i="3"/>
  <c r="J201" i="3"/>
  <c r="L201" i="3" s="1"/>
  <c r="J206" i="3"/>
  <c r="J207" i="3"/>
  <c r="L207" i="3" s="1"/>
  <c r="J208" i="3"/>
  <c r="J214" i="3"/>
  <c r="J215" i="3"/>
  <c r="L215" i="3" s="1"/>
  <c r="J216" i="3"/>
  <c r="J222" i="3"/>
  <c r="J224" i="3"/>
  <c r="J227" i="3"/>
  <c r="L227" i="3" s="1"/>
  <c r="J228" i="3"/>
  <c r="J231" i="3"/>
  <c r="J232" i="3"/>
  <c r="J235" i="3"/>
  <c r="L235" i="3" s="1"/>
  <c r="J239" i="3"/>
  <c r="L239" i="3" s="1"/>
  <c r="J240" i="3"/>
  <c r="J247" i="3"/>
  <c r="L247" i="3" s="1"/>
  <c r="J248" i="3"/>
  <c r="J255" i="3"/>
  <c r="L255" i="3" s="1"/>
  <c r="J256" i="3"/>
  <c r="J263" i="3"/>
  <c r="L263" i="3" s="1"/>
  <c r="J264" i="3"/>
  <c r="J267" i="3"/>
  <c r="L267" i="3" s="1"/>
  <c r="J271" i="3"/>
  <c r="L271" i="3" s="1"/>
  <c r="J272" i="3"/>
  <c r="J275" i="3"/>
  <c r="L275" i="3" s="1"/>
  <c r="J279" i="3"/>
  <c r="L279" i="3" s="1"/>
  <c r="J280" i="3"/>
  <c r="J284" i="3"/>
  <c r="J287" i="3"/>
  <c r="L287" i="3" s="1"/>
  <c r="J288" i="3"/>
  <c r="J295" i="3"/>
  <c r="L295" i="3" s="1"/>
  <c r="J296" i="3"/>
  <c r="J299" i="3"/>
  <c r="L299" i="3" s="1"/>
  <c r="J303" i="3"/>
  <c r="L303" i="3" s="1"/>
  <c r="J304" i="3"/>
  <c r="J311" i="3"/>
  <c r="L311" i="3" s="1"/>
  <c r="J312" i="3"/>
  <c r="J319" i="3"/>
  <c r="J320" i="3"/>
  <c r="J327" i="3"/>
  <c r="J328" i="3"/>
  <c r="J335" i="3"/>
  <c r="L335" i="3" s="1"/>
  <c r="J336" i="3"/>
  <c r="J339" i="3"/>
  <c r="N339" i="3" s="1"/>
  <c r="J343" i="3"/>
  <c r="J344" i="3"/>
  <c r="J348" i="3"/>
  <c r="J351" i="3"/>
  <c r="J352" i="3"/>
  <c r="J358" i="3"/>
  <c r="J359" i="3"/>
  <c r="J360" i="3"/>
  <c r="J367" i="3"/>
  <c r="J368" i="3"/>
  <c r="J371" i="3"/>
  <c r="N371" i="3" s="1"/>
  <c r="J375" i="3"/>
  <c r="J376" i="3"/>
  <c r="J377" i="3"/>
  <c r="J380" i="3"/>
  <c r="J383" i="3"/>
  <c r="J384" i="3"/>
  <c r="J391" i="3"/>
  <c r="J392" i="3"/>
  <c r="J399" i="3"/>
  <c r="J400" i="3"/>
  <c r="L400" i="3" s="1"/>
  <c r="J407" i="3"/>
  <c r="J408" i="3"/>
  <c r="L408" i="3" s="1"/>
  <c r="J411" i="3"/>
  <c r="N411" i="3" s="1"/>
  <c r="J415" i="3"/>
  <c r="J416" i="3"/>
  <c r="L416" i="3" s="1"/>
  <c r="J423" i="3"/>
  <c r="N423" i="3" s="1"/>
  <c r="J424" i="3"/>
  <c r="L424" i="3" s="1"/>
  <c r="J431" i="3"/>
  <c r="J432" i="3"/>
  <c r="L432" i="3" s="1"/>
  <c r="J439" i="3"/>
  <c r="J440" i="3"/>
  <c r="L440" i="3" s="1"/>
  <c r="J441" i="3"/>
  <c r="L441" i="3" s="1"/>
  <c r="J446" i="3"/>
  <c r="L446" i="3" s="1"/>
  <c r="J447" i="3"/>
  <c r="J448" i="3"/>
  <c r="J451" i="3"/>
  <c r="L451" i="3" s="1"/>
  <c r="J452" i="3"/>
  <c r="J455" i="3"/>
  <c r="J456" i="3"/>
  <c r="J463" i="3"/>
  <c r="N463" i="3" s="1"/>
  <c r="J464" i="3"/>
  <c r="J471" i="3"/>
  <c r="J472" i="3"/>
  <c r="J479" i="3"/>
  <c r="J480" i="3"/>
  <c r="J483" i="3"/>
  <c r="J487" i="3"/>
  <c r="J488" i="3"/>
  <c r="J492" i="3"/>
  <c r="L492" i="3" s="1"/>
  <c r="J495" i="3"/>
  <c r="J496" i="3"/>
  <c r="J502" i="3"/>
  <c r="J503" i="3"/>
  <c r="J504" i="3"/>
  <c r="J508" i="3"/>
  <c r="L508" i="3" s="1"/>
  <c r="J511" i="3"/>
  <c r="J512" i="3"/>
  <c r="J518" i="3"/>
  <c r="J519" i="3"/>
  <c r="J520" i="3"/>
  <c r="L520" i="3" s="1"/>
  <c r="J523" i="3"/>
  <c r="J524" i="3"/>
  <c r="L524" i="3" s="1"/>
  <c r="J527" i="3"/>
  <c r="N527" i="3" s="1"/>
  <c r="J528" i="3"/>
  <c r="J535" i="3"/>
  <c r="J536" i="3"/>
  <c r="L536" i="3" s="1"/>
  <c r="J543" i="3"/>
  <c r="N543" i="3" s="1"/>
  <c r="J544" i="3"/>
  <c r="J551" i="3"/>
  <c r="J552" i="3"/>
  <c r="J555" i="3"/>
  <c r="J559" i="3"/>
  <c r="J560" i="3"/>
  <c r="J564" i="3"/>
  <c r="J567" i="3"/>
  <c r="J568" i="3"/>
  <c r="N941" i="3" l="1"/>
  <c r="N600" i="3"/>
  <c r="N716" i="3"/>
  <c r="L783" i="3"/>
  <c r="N783" i="3"/>
  <c r="L930" i="3"/>
  <c r="N930" i="3"/>
  <c r="L906" i="3"/>
  <c r="N906" i="3"/>
  <c r="N752" i="3"/>
  <c r="L752" i="3"/>
  <c r="N632" i="3"/>
  <c r="L804" i="3"/>
  <c r="N804" i="3"/>
  <c r="L796" i="3"/>
  <c r="N796" i="3"/>
  <c r="N788" i="3"/>
  <c r="L788" i="3"/>
  <c r="L927" i="3"/>
  <c r="N927" i="3"/>
  <c r="N794" i="3"/>
  <c r="L794" i="3"/>
  <c r="N838" i="3"/>
  <c r="L838" i="3"/>
  <c r="L916" i="3"/>
  <c r="N916" i="3"/>
  <c r="L791" i="3"/>
  <c r="N791" i="3"/>
  <c r="L798" i="3"/>
  <c r="N728" i="3"/>
  <c r="N664" i="3"/>
  <c r="N636" i="3"/>
  <c r="L874" i="3"/>
  <c r="N785" i="3"/>
  <c r="N774" i="3"/>
  <c r="L768" i="3"/>
  <c r="N955" i="3"/>
  <c r="N903" i="3"/>
  <c r="N852" i="3"/>
  <c r="N820" i="3"/>
  <c r="L814" i="3"/>
  <c r="N777" i="3"/>
  <c r="N902" i="3"/>
  <c r="N758" i="3"/>
  <c r="L612" i="3"/>
  <c r="N612" i="3"/>
  <c r="L604" i="3"/>
  <c r="N604" i="3"/>
  <c r="L576" i="3"/>
  <c r="N576" i="3"/>
  <c r="L887" i="3"/>
  <c r="N887" i="3"/>
  <c r="L828" i="3"/>
  <c r="N828" i="3"/>
  <c r="L822" i="3"/>
  <c r="N822" i="3"/>
  <c r="L816" i="3"/>
  <c r="N816" i="3"/>
  <c r="L742" i="3"/>
  <c r="N742" i="3"/>
  <c r="L656" i="3"/>
  <c r="N656" i="3"/>
  <c r="L648" i="3"/>
  <c r="N648" i="3"/>
  <c r="L624" i="3"/>
  <c r="N624" i="3"/>
  <c r="L588" i="3"/>
  <c r="N588" i="3"/>
  <c r="N780" i="3"/>
  <c r="L780" i="3"/>
  <c r="L750" i="3"/>
  <c r="N750" i="3"/>
  <c r="L778" i="3"/>
  <c r="N778" i="3"/>
  <c r="L760" i="3"/>
  <c r="N760" i="3"/>
  <c r="L748" i="3"/>
  <c r="N748" i="3"/>
  <c r="L958" i="3"/>
  <c r="N958" i="3"/>
  <c r="L948" i="3"/>
  <c r="N948" i="3"/>
  <c r="L938" i="3"/>
  <c r="N938" i="3"/>
  <c r="L922" i="3"/>
  <c r="N922" i="3"/>
  <c r="L911" i="3"/>
  <c r="N911" i="3"/>
  <c r="L885" i="3"/>
  <c r="N885" i="3"/>
  <c r="N858" i="3"/>
  <c r="L858" i="3"/>
  <c r="N840" i="3"/>
  <c r="L840" i="3"/>
  <c r="L802" i="3"/>
  <c r="N802" i="3"/>
  <c r="L792" i="3"/>
  <c r="N792" i="3"/>
  <c r="L892" i="3"/>
  <c r="N892" i="3"/>
  <c r="L953" i="3"/>
  <c r="N953" i="3"/>
  <c r="L942" i="3"/>
  <c r="N942" i="3"/>
  <c r="L954" i="3"/>
  <c r="N954" i="3"/>
  <c r="L947" i="3"/>
  <c r="N947" i="3"/>
  <c r="L937" i="3"/>
  <c r="N937" i="3"/>
  <c r="L917" i="3"/>
  <c r="N917" i="3"/>
  <c r="L910" i="3"/>
  <c r="N910" i="3"/>
  <c r="L897" i="3"/>
  <c r="N897" i="3"/>
  <c r="L886" i="3"/>
  <c r="N886" i="3"/>
  <c r="L808" i="3"/>
  <c r="N808" i="3"/>
  <c r="L596" i="3"/>
  <c r="N596" i="3"/>
  <c r="L935" i="3"/>
  <c r="N935" i="3"/>
  <c r="N905" i="3"/>
  <c r="N891" i="3"/>
  <c r="N864" i="3"/>
  <c r="L864" i="3"/>
  <c r="L846" i="3"/>
  <c r="N846" i="3"/>
  <c r="N826" i="3"/>
  <c r="L826" i="3"/>
  <c r="L772" i="3"/>
  <c r="N772" i="3"/>
  <c r="L766" i="3"/>
  <c r="N766" i="3"/>
  <c r="L616" i="3"/>
  <c r="N616" i="3"/>
  <c r="L934" i="3"/>
  <c r="N934" i="3"/>
  <c r="L926" i="3"/>
  <c r="N926" i="3"/>
  <c r="L915" i="3"/>
  <c r="N915" i="3"/>
  <c r="L908" i="3"/>
  <c r="N908" i="3"/>
  <c r="L901" i="3"/>
  <c r="N901" i="3"/>
  <c r="N856" i="3"/>
  <c r="L856" i="3"/>
  <c r="N832" i="3"/>
  <c r="L832" i="3"/>
  <c r="L806" i="3"/>
  <c r="N806" i="3"/>
  <c r="L800" i="3"/>
  <c r="N800" i="3"/>
  <c r="L746" i="3"/>
  <c r="N746" i="3"/>
  <c r="L740" i="3"/>
  <c r="N740" i="3"/>
  <c r="L640" i="3"/>
  <c r="N640" i="3"/>
  <c r="L608" i="3"/>
  <c r="N608" i="3"/>
  <c r="L580" i="3"/>
  <c r="N580" i="3"/>
  <c r="L572" i="3"/>
  <c r="N572" i="3"/>
  <c r="L951" i="3"/>
  <c r="N951" i="3"/>
  <c r="L945" i="3"/>
  <c r="N945" i="3"/>
  <c r="L933" i="3"/>
  <c r="N933" i="3"/>
  <c r="L925" i="3"/>
  <c r="N925" i="3"/>
  <c r="L919" i="3"/>
  <c r="N919" i="3"/>
  <c r="L914" i="3"/>
  <c r="N914" i="3"/>
  <c r="L900" i="3"/>
  <c r="N900" i="3"/>
  <c r="L890" i="3"/>
  <c r="N890" i="3"/>
  <c r="L883" i="3"/>
  <c r="N883" i="3"/>
  <c r="L862" i="3"/>
  <c r="N862" i="3"/>
  <c r="L844" i="3"/>
  <c r="N844" i="3"/>
  <c r="N824" i="3"/>
  <c r="L824" i="3"/>
  <c r="L812" i="3"/>
  <c r="N812" i="3"/>
  <c r="L786" i="3"/>
  <c r="N786" i="3"/>
  <c r="L782" i="3"/>
  <c r="N782" i="3"/>
  <c r="L764" i="3"/>
  <c r="N764" i="3"/>
  <c r="L660" i="3"/>
  <c r="N660" i="3"/>
  <c r="L628" i="3"/>
  <c r="N628" i="3"/>
  <c r="L950" i="3"/>
  <c r="N950" i="3"/>
  <c r="L940" i="3"/>
  <c r="N940" i="3"/>
  <c r="L929" i="3"/>
  <c r="N929" i="3"/>
  <c r="L924" i="3"/>
  <c r="N924" i="3"/>
  <c r="L913" i="3"/>
  <c r="N913" i="3"/>
  <c r="L899" i="3"/>
  <c r="N899" i="3"/>
  <c r="L894" i="3"/>
  <c r="N894" i="3"/>
  <c r="L889" i="3"/>
  <c r="N889" i="3"/>
  <c r="L868" i="3"/>
  <c r="N868" i="3"/>
  <c r="N850" i="3"/>
  <c r="L850" i="3"/>
  <c r="L830" i="3"/>
  <c r="N830" i="3"/>
  <c r="L818" i="3"/>
  <c r="N818" i="3"/>
  <c r="L652" i="3"/>
  <c r="N652" i="3"/>
  <c r="L620" i="3"/>
  <c r="N620" i="3"/>
  <c r="L592" i="3"/>
  <c r="N592" i="3"/>
  <c r="L949" i="3"/>
  <c r="N949" i="3"/>
  <c r="L939" i="3"/>
  <c r="N939" i="3"/>
  <c r="L923" i="3"/>
  <c r="N923" i="3"/>
  <c r="L882" i="3"/>
  <c r="N882" i="3"/>
  <c r="L860" i="3"/>
  <c r="N860" i="3"/>
  <c r="N842" i="3"/>
  <c r="L842" i="3"/>
  <c r="L836" i="3"/>
  <c r="N836" i="3"/>
  <c r="L810" i="3"/>
  <c r="N810" i="3"/>
  <c r="L762" i="3"/>
  <c r="N762" i="3"/>
  <c r="L756" i="3"/>
  <c r="N756" i="3"/>
  <c r="L744" i="3"/>
  <c r="N744" i="3"/>
  <c r="L866" i="3"/>
  <c r="L848" i="3"/>
  <c r="L834" i="3"/>
  <c r="N957" i="3"/>
  <c r="N946" i="3"/>
  <c r="N943" i="3"/>
  <c r="N932" i="3"/>
  <c r="N921" i="3"/>
  <c r="N918" i="3"/>
  <c r="N907" i="3"/>
  <c r="N893" i="3"/>
  <c r="N776" i="3"/>
  <c r="N770" i="3"/>
  <c r="N754" i="3"/>
  <c r="N732" i="3"/>
  <c r="N680" i="3"/>
  <c r="N668" i="3"/>
  <c r="N854" i="3"/>
  <c r="N644" i="3"/>
  <c r="N909" i="3"/>
  <c r="N898" i="3"/>
  <c r="N895" i="3"/>
  <c r="N884" i="3"/>
  <c r="N790" i="3"/>
  <c r="N784" i="3"/>
  <c r="N696" i="3"/>
  <c r="N684" i="3"/>
  <c r="N584" i="3"/>
  <c r="N956" i="3"/>
  <c r="N931" i="3"/>
  <c r="L880" i="3"/>
  <c r="N775" i="3"/>
  <c r="N712" i="3"/>
  <c r="N700" i="3"/>
  <c r="L944" i="3"/>
  <c r="N944" i="3"/>
  <c r="N872" i="3"/>
  <c r="L872" i="3"/>
  <c r="L867" i="3"/>
  <c r="N867" i="3"/>
  <c r="L835" i="3"/>
  <c r="N835" i="3"/>
  <c r="L811" i="3"/>
  <c r="N811" i="3"/>
  <c r="L795" i="3"/>
  <c r="N795" i="3"/>
  <c r="L789" i="3"/>
  <c r="N789" i="3"/>
  <c r="L896" i="3"/>
  <c r="N896" i="3"/>
  <c r="L877" i="3"/>
  <c r="N877" i="3"/>
  <c r="L904" i="3"/>
  <c r="N904" i="3"/>
  <c r="L952" i="3"/>
  <c r="N952" i="3"/>
  <c r="L888" i="3"/>
  <c r="N888" i="3"/>
  <c r="L878" i="3"/>
  <c r="N878" i="3"/>
  <c r="L845" i="3"/>
  <c r="N845" i="3"/>
  <c r="L771" i="3"/>
  <c r="N771" i="3"/>
  <c r="L755" i="3"/>
  <c r="N755" i="3"/>
  <c r="L739" i="3"/>
  <c r="N739" i="3"/>
  <c r="L912" i="3"/>
  <c r="N912" i="3"/>
  <c r="L920" i="3"/>
  <c r="N920" i="3"/>
  <c r="L928" i="3"/>
  <c r="N928" i="3"/>
  <c r="L936" i="3"/>
  <c r="N936" i="3"/>
  <c r="L876" i="3"/>
  <c r="N876" i="3"/>
  <c r="L870" i="3"/>
  <c r="N870" i="3"/>
  <c r="L859" i="3"/>
  <c r="N859" i="3"/>
  <c r="L827" i="3"/>
  <c r="N827" i="3"/>
  <c r="L875" i="3"/>
  <c r="N875" i="3"/>
  <c r="L869" i="3"/>
  <c r="N869" i="3"/>
  <c r="L837" i="3"/>
  <c r="N837" i="3"/>
  <c r="L813" i="3"/>
  <c r="N813" i="3"/>
  <c r="L797" i="3"/>
  <c r="N797" i="3"/>
  <c r="L779" i="3"/>
  <c r="N779" i="3"/>
  <c r="L767" i="3"/>
  <c r="N767" i="3"/>
  <c r="L751" i="3"/>
  <c r="N751" i="3"/>
  <c r="L881" i="3"/>
  <c r="N881" i="3"/>
  <c r="L851" i="3"/>
  <c r="N851" i="3"/>
  <c r="L819" i="3"/>
  <c r="N819" i="3"/>
  <c r="L803" i="3"/>
  <c r="N803" i="3"/>
  <c r="L773" i="3"/>
  <c r="N773" i="3"/>
  <c r="L861" i="3"/>
  <c r="N861" i="3"/>
  <c r="L829" i="3"/>
  <c r="N829" i="3"/>
  <c r="L787" i="3"/>
  <c r="N787" i="3"/>
  <c r="L843" i="3"/>
  <c r="N843" i="3"/>
  <c r="L781" i="3"/>
  <c r="N781" i="3"/>
  <c r="L853" i="3"/>
  <c r="N853" i="3"/>
  <c r="L821" i="3"/>
  <c r="N821" i="3"/>
  <c r="L805" i="3"/>
  <c r="N805" i="3"/>
  <c r="L761" i="3"/>
  <c r="N761" i="3"/>
  <c r="L745" i="3"/>
  <c r="N745" i="3"/>
  <c r="L738" i="3"/>
  <c r="N738" i="3"/>
  <c r="N879" i="3"/>
  <c r="N871" i="3"/>
  <c r="N863" i="3"/>
  <c r="N855" i="3"/>
  <c r="N847" i="3"/>
  <c r="N839" i="3"/>
  <c r="N831" i="3"/>
  <c r="N823" i="3"/>
  <c r="N815" i="3"/>
  <c r="N807" i="3"/>
  <c r="N799" i="3"/>
  <c r="L757" i="3"/>
  <c r="N757" i="3"/>
  <c r="L741" i="3"/>
  <c r="N741" i="3"/>
  <c r="L737" i="3"/>
  <c r="N737" i="3"/>
  <c r="L763" i="3"/>
  <c r="N763" i="3"/>
  <c r="L747" i="3"/>
  <c r="N747" i="3"/>
  <c r="N736" i="3"/>
  <c r="N720" i="3"/>
  <c r="N704" i="3"/>
  <c r="N688" i="3"/>
  <c r="N672" i="3"/>
  <c r="N873" i="3"/>
  <c r="N865" i="3"/>
  <c r="N857" i="3"/>
  <c r="N849" i="3"/>
  <c r="N841" i="3"/>
  <c r="N833" i="3"/>
  <c r="N825" i="3"/>
  <c r="N817" i="3"/>
  <c r="N809" i="3"/>
  <c r="N801" i="3"/>
  <c r="N793" i="3"/>
  <c r="L769" i="3"/>
  <c r="N769" i="3"/>
  <c r="L753" i="3"/>
  <c r="N753" i="3"/>
  <c r="L759" i="3"/>
  <c r="N759" i="3"/>
  <c r="L743" i="3"/>
  <c r="N743" i="3"/>
  <c r="N724" i="3"/>
  <c r="N708" i="3"/>
  <c r="N692" i="3"/>
  <c r="N676" i="3"/>
  <c r="L765" i="3"/>
  <c r="N765" i="3"/>
  <c r="L749" i="3"/>
  <c r="N749" i="3"/>
  <c r="L735" i="3"/>
  <c r="N735" i="3"/>
  <c r="L731" i="3"/>
  <c r="N731" i="3"/>
  <c r="L727" i="3"/>
  <c r="N727" i="3"/>
  <c r="L723" i="3"/>
  <c r="N723" i="3"/>
  <c r="L719" i="3"/>
  <c r="N719" i="3"/>
  <c r="L715" i="3"/>
  <c r="N715" i="3"/>
  <c r="L711" i="3"/>
  <c r="N711" i="3"/>
  <c r="L707" i="3"/>
  <c r="N707" i="3"/>
  <c r="L703" i="3"/>
  <c r="N703" i="3"/>
  <c r="L699" i="3"/>
  <c r="N699" i="3"/>
  <c r="L695" i="3"/>
  <c r="N695" i="3"/>
  <c r="L691" i="3"/>
  <c r="N691" i="3"/>
  <c r="L687" i="3"/>
  <c r="N687" i="3"/>
  <c r="L683" i="3"/>
  <c r="N683" i="3"/>
  <c r="L679" i="3"/>
  <c r="N679" i="3"/>
  <c r="L675" i="3"/>
  <c r="N675" i="3"/>
  <c r="L671" i="3"/>
  <c r="N671" i="3"/>
  <c r="L667" i="3"/>
  <c r="N667" i="3"/>
  <c r="L663" i="3"/>
  <c r="N663" i="3"/>
  <c r="L659" i="3"/>
  <c r="N659" i="3"/>
  <c r="L655" i="3"/>
  <c r="N655" i="3"/>
  <c r="L651" i="3"/>
  <c r="N651" i="3"/>
  <c r="L647" i="3"/>
  <c r="N647" i="3"/>
  <c r="L643" i="3"/>
  <c r="N643" i="3"/>
  <c r="L639" i="3"/>
  <c r="N639" i="3"/>
  <c r="L635" i="3"/>
  <c r="N635" i="3"/>
  <c r="L631" i="3"/>
  <c r="N631" i="3"/>
  <c r="L627" i="3"/>
  <c r="N627" i="3"/>
  <c r="L623" i="3"/>
  <c r="N623" i="3"/>
  <c r="L619" i="3"/>
  <c r="N619" i="3"/>
  <c r="L615" i="3"/>
  <c r="N615" i="3"/>
  <c r="L611" i="3"/>
  <c r="N611" i="3"/>
  <c r="L607" i="3"/>
  <c r="N607" i="3"/>
  <c r="L603" i="3"/>
  <c r="N603" i="3"/>
  <c r="L599" i="3"/>
  <c r="N599" i="3"/>
  <c r="L595" i="3"/>
  <c r="N595" i="3"/>
  <c r="L591" i="3"/>
  <c r="N591" i="3"/>
  <c r="L587" i="3"/>
  <c r="N587" i="3"/>
  <c r="L583" i="3"/>
  <c r="N583" i="3"/>
  <c r="L579" i="3"/>
  <c r="N579" i="3"/>
  <c r="L575" i="3"/>
  <c r="N575" i="3"/>
  <c r="L571" i="3"/>
  <c r="N571" i="3"/>
  <c r="N734" i="3"/>
  <c r="N730" i="3"/>
  <c r="N726" i="3"/>
  <c r="N722" i="3"/>
  <c r="N718" i="3"/>
  <c r="N714" i="3"/>
  <c r="N710" i="3"/>
  <c r="N706" i="3"/>
  <c r="N702" i="3"/>
  <c r="N698" i="3"/>
  <c r="N694" i="3"/>
  <c r="N690" i="3"/>
  <c r="N686" i="3"/>
  <c r="N682" i="3"/>
  <c r="N678" i="3"/>
  <c r="N674" i="3"/>
  <c r="N670" i="3"/>
  <c r="N666" i="3"/>
  <c r="N662" i="3"/>
  <c r="N658" i="3"/>
  <c r="N654" i="3"/>
  <c r="N650" i="3"/>
  <c r="N646" i="3"/>
  <c r="N642" i="3"/>
  <c r="N638" i="3"/>
  <c r="N634" i="3"/>
  <c r="N630" i="3"/>
  <c r="N626" i="3"/>
  <c r="N622" i="3"/>
  <c r="N618" i="3"/>
  <c r="N614" i="3"/>
  <c r="N610" i="3"/>
  <c r="N606" i="3"/>
  <c r="N602" i="3"/>
  <c r="N598" i="3"/>
  <c r="N594" i="3"/>
  <c r="N590" i="3"/>
  <c r="N586" i="3"/>
  <c r="N582" i="3"/>
  <c r="N578" i="3"/>
  <c r="N574" i="3"/>
  <c r="N570" i="3"/>
  <c r="L733" i="3"/>
  <c r="N733" i="3"/>
  <c r="L729" i="3"/>
  <c r="N729" i="3"/>
  <c r="L725" i="3"/>
  <c r="N725" i="3"/>
  <c r="L721" i="3"/>
  <c r="N721" i="3"/>
  <c r="L717" i="3"/>
  <c r="N717" i="3"/>
  <c r="L713" i="3"/>
  <c r="N713" i="3"/>
  <c r="L709" i="3"/>
  <c r="N709" i="3"/>
  <c r="L705" i="3"/>
  <c r="N705" i="3"/>
  <c r="L701" i="3"/>
  <c r="N701" i="3"/>
  <c r="L697" i="3"/>
  <c r="N697" i="3"/>
  <c r="L693" i="3"/>
  <c r="N693" i="3"/>
  <c r="L689" i="3"/>
  <c r="N689" i="3"/>
  <c r="L685" i="3"/>
  <c r="N685" i="3"/>
  <c r="L681" i="3"/>
  <c r="N681" i="3"/>
  <c r="L677" i="3"/>
  <c r="N677" i="3"/>
  <c r="L673" i="3"/>
  <c r="N673" i="3"/>
  <c r="L669" i="3"/>
  <c r="N669" i="3"/>
  <c r="L665" i="3"/>
  <c r="N665" i="3"/>
  <c r="L661" i="3"/>
  <c r="N661" i="3"/>
  <c r="L657" i="3"/>
  <c r="N657" i="3"/>
  <c r="L653" i="3"/>
  <c r="N653" i="3"/>
  <c r="L649" i="3"/>
  <c r="N649" i="3"/>
  <c r="L645" i="3"/>
  <c r="N645" i="3"/>
  <c r="L641" i="3"/>
  <c r="N641" i="3"/>
  <c r="L637" i="3"/>
  <c r="N637" i="3"/>
  <c r="L633" i="3"/>
  <c r="N633" i="3"/>
  <c r="L629" i="3"/>
  <c r="N629" i="3"/>
  <c r="L625" i="3"/>
  <c r="N625" i="3"/>
  <c r="L621" i="3"/>
  <c r="N621" i="3"/>
  <c r="L617" i="3"/>
  <c r="N617" i="3"/>
  <c r="L613" i="3"/>
  <c r="N613" i="3"/>
  <c r="L609" i="3"/>
  <c r="N609" i="3"/>
  <c r="L605" i="3"/>
  <c r="N605" i="3"/>
  <c r="L601" i="3"/>
  <c r="N601" i="3"/>
  <c r="L597" i="3"/>
  <c r="N597" i="3"/>
  <c r="L593" i="3"/>
  <c r="N593" i="3"/>
  <c r="L589" i="3"/>
  <c r="N589" i="3"/>
  <c r="L585" i="3"/>
  <c r="N585" i="3"/>
  <c r="L581" i="3"/>
  <c r="N581" i="3"/>
  <c r="L577" i="3"/>
  <c r="N577" i="3"/>
  <c r="L573" i="3"/>
  <c r="N573" i="3"/>
  <c r="L569" i="3"/>
  <c r="N569" i="3"/>
  <c r="N40" i="3"/>
  <c r="N243" i="3"/>
  <c r="N140" i="3"/>
  <c r="N62" i="3"/>
  <c r="N114" i="3"/>
  <c r="N82" i="3"/>
  <c r="N408" i="3"/>
  <c r="N203" i="3"/>
  <c r="N10" i="3"/>
  <c r="L556" i="3"/>
  <c r="N556" i="3"/>
  <c r="L389" i="3"/>
  <c r="N389" i="3"/>
  <c r="N515" i="3"/>
  <c r="L515" i="3"/>
  <c r="L476" i="3"/>
  <c r="N476" i="3"/>
  <c r="N355" i="3"/>
  <c r="L355" i="3"/>
  <c r="N481" i="3"/>
  <c r="L481" i="3"/>
  <c r="L383" i="3"/>
  <c r="N383" i="3"/>
  <c r="N323" i="3"/>
  <c r="L323" i="3"/>
  <c r="N215" i="3"/>
  <c r="N536" i="3"/>
  <c r="L387" i="3"/>
  <c r="N156" i="3"/>
  <c r="N90" i="3"/>
  <c r="N70" i="3"/>
  <c r="N56" i="3"/>
  <c r="N451" i="3"/>
  <c r="N416" i="3"/>
  <c r="L411" i="3"/>
  <c r="N335" i="3"/>
  <c r="N187" i="3"/>
  <c r="N134" i="3"/>
  <c r="N76" i="3"/>
  <c r="N48" i="3"/>
  <c r="N565" i="3"/>
  <c r="N540" i="3"/>
  <c r="N526" i="3"/>
  <c r="N422" i="3"/>
  <c r="N161" i="3"/>
  <c r="N26" i="3"/>
  <c r="L339" i="3"/>
  <c r="N299" i="3"/>
  <c r="N259" i="3"/>
  <c r="N18" i="3"/>
  <c r="N46" i="3"/>
  <c r="L533" i="3"/>
  <c r="N413" i="3"/>
  <c r="L371" i="3"/>
  <c r="N263" i="3"/>
  <c r="N164" i="3"/>
  <c r="N152" i="3"/>
  <c r="N108" i="3"/>
  <c r="N86" i="3"/>
  <c r="L407" i="3"/>
  <c r="N407" i="3"/>
  <c r="L317" i="3"/>
  <c r="N317" i="3"/>
  <c r="L369" i="3"/>
  <c r="N369" i="3"/>
  <c r="N513" i="3"/>
  <c r="L513" i="3"/>
  <c r="N499" i="3"/>
  <c r="L499" i="3"/>
  <c r="N419" i="3"/>
  <c r="L419" i="3"/>
  <c r="L401" i="3"/>
  <c r="N401" i="3"/>
  <c r="L357" i="3"/>
  <c r="N357" i="3"/>
  <c r="L351" i="3"/>
  <c r="N351" i="3"/>
  <c r="L325" i="3"/>
  <c r="N325" i="3"/>
  <c r="L319" i="3"/>
  <c r="N319" i="3"/>
  <c r="N549" i="3"/>
  <c r="L549" i="3"/>
  <c r="L517" i="3"/>
  <c r="N517" i="3"/>
  <c r="N399" i="3"/>
  <c r="L399" i="3"/>
  <c r="L561" i="3"/>
  <c r="N561" i="3"/>
  <c r="N375" i="3"/>
  <c r="L375" i="3"/>
  <c r="L506" i="3"/>
  <c r="N506" i="3"/>
  <c r="N439" i="3"/>
  <c r="L439" i="3"/>
  <c r="N425" i="3"/>
  <c r="L425" i="3"/>
  <c r="L393" i="3"/>
  <c r="N393" i="3"/>
  <c r="L377" i="3"/>
  <c r="N377" i="3"/>
  <c r="N343" i="3"/>
  <c r="L343" i="3"/>
  <c r="L337" i="3"/>
  <c r="N337" i="3"/>
  <c r="N417" i="3"/>
  <c r="L417" i="3"/>
  <c r="N497" i="3"/>
  <c r="L497" i="3"/>
  <c r="L554" i="3"/>
  <c r="N554" i="3"/>
  <c r="L547" i="3"/>
  <c r="N547" i="3"/>
  <c r="N483" i="3"/>
  <c r="L483" i="3"/>
  <c r="N405" i="3"/>
  <c r="L405" i="3"/>
  <c r="L361" i="3"/>
  <c r="N361" i="3"/>
  <c r="N329" i="3"/>
  <c r="L329" i="3"/>
  <c r="L167" i="3"/>
  <c r="N167" i="3"/>
  <c r="L331" i="3"/>
  <c r="N331" i="3"/>
  <c r="L341" i="3"/>
  <c r="N341" i="3"/>
  <c r="N559" i="3"/>
  <c r="L559" i="3"/>
  <c r="L415" i="3"/>
  <c r="N415" i="3"/>
  <c r="L373" i="3"/>
  <c r="N373" i="3"/>
  <c r="N367" i="3"/>
  <c r="L367" i="3"/>
  <c r="L347" i="3"/>
  <c r="N347" i="3"/>
  <c r="L542" i="3"/>
  <c r="N542" i="3"/>
  <c r="L363" i="3"/>
  <c r="N363" i="3"/>
  <c r="N391" i="3"/>
  <c r="L391" i="3"/>
  <c r="L558" i="3"/>
  <c r="N558" i="3"/>
  <c r="L421" i="3"/>
  <c r="N421" i="3"/>
  <c r="N403" i="3"/>
  <c r="L403" i="3"/>
  <c r="L385" i="3"/>
  <c r="N385" i="3"/>
  <c r="N359" i="3"/>
  <c r="L359" i="3"/>
  <c r="L353" i="3"/>
  <c r="N353" i="3"/>
  <c r="N327" i="3"/>
  <c r="L327" i="3"/>
  <c r="L321" i="3"/>
  <c r="N321" i="3"/>
  <c r="L409" i="3"/>
  <c r="N409" i="3"/>
  <c r="L395" i="3"/>
  <c r="N395" i="3"/>
  <c r="L379" i="3"/>
  <c r="N379" i="3"/>
  <c r="N345" i="3"/>
  <c r="L345" i="3"/>
  <c r="N563" i="3"/>
  <c r="N485" i="3"/>
  <c r="N467" i="3"/>
  <c r="N406" i="3"/>
  <c r="N400" i="3"/>
  <c r="N397" i="3"/>
  <c r="N381" i="3"/>
  <c r="N365" i="3"/>
  <c r="N349" i="3"/>
  <c r="N333" i="3"/>
  <c r="N295" i="3"/>
  <c r="N267" i="3"/>
  <c r="N211" i="3"/>
  <c r="N183" i="3"/>
  <c r="N124" i="3"/>
  <c r="N110" i="3"/>
  <c r="N72" i="3"/>
  <c r="N66" i="3"/>
  <c r="N60" i="3"/>
  <c r="N508" i="3"/>
  <c r="L463" i="3"/>
  <c r="N458" i="3"/>
  <c r="N436" i="3"/>
  <c r="N414" i="3"/>
  <c r="N283" i="3"/>
  <c r="N227" i="3"/>
  <c r="N199" i="3"/>
  <c r="N171" i="3"/>
  <c r="N162" i="3"/>
  <c r="N130" i="3"/>
  <c r="N34" i="3"/>
  <c r="N430" i="3"/>
  <c r="N219" i="3"/>
  <c r="N94" i="3"/>
  <c r="N50" i="3"/>
  <c r="N510" i="3"/>
  <c r="N492" i="3"/>
  <c r="N433" i="3"/>
  <c r="N275" i="3"/>
  <c r="N247" i="3"/>
  <c r="N531" i="3"/>
  <c r="N460" i="3"/>
  <c r="N438" i="3"/>
  <c r="N398" i="3"/>
  <c r="N291" i="3"/>
  <c r="N235" i="3"/>
  <c r="N179" i="3"/>
  <c r="N146" i="3"/>
  <c r="N106" i="3"/>
  <c r="N16" i="3"/>
  <c r="L527" i="3"/>
  <c r="N524" i="3"/>
  <c r="N520" i="3"/>
  <c r="N424" i="3"/>
  <c r="N412" i="3"/>
  <c r="N279" i="3"/>
  <c r="N251" i="3"/>
  <c r="N195" i="3"/>
  <c r="N158" i="3"/>
  <c r="N98" i="3"/>
  <c r="N92" i="3"/>
  <c r="N42" i="3"/>
  <c r="N479" i="3"/>
  <c r="L479" i="3"/>
  <c r="L456" i="3"/>
  <c r="N456" i="3"/>
  <c r="L504" i="3"/>
  <c r="N504" i="3"/>
  <c r="N511" i="3"/>
  <c r="L511" i="3"/>
  <c r="L557" i="3"/>
  <c r="N557" i="3"/>
  <c r="L252" i="3"/>
  <c r="N252" i="3"/>
  <c r="L560" i="3"/>
  <c r="N560" i="3"/>
  <c r="L509" i="3"/>
  <c r="N509" i="3"/>
  <c r="L500" i="3"/>
  <c r="N500" i="3"/>
  <c r="L475" i="3"/>
  <c r="N475" i="3"/>
  <c r="L470" i="3"/>
  <c r="N470" i="3"/>
  <c r="L452" i="3"/>
  <c r="N452" i="3"/>
  <c r="L448" i="3"/>
  <c r="N448" i="3"/>
  <c r="L423" i="3"/>
  <c r="L274" i="3"/>
  <c r="N274" i="3"/>
  <c r="L268" i="3"/>
  <c r="N268" i="3"/>
  <c r="L246" i="3"/>
  <c r="N246" i="3"/>
  <c r="L502" i="3"/>
  <c r="N502" i="3"/>
  <c r="L566" i="3"/>
  <c r="N566" i="3"/>
  <c r="L404" i="3"/>
  <c r="N404" i="3"/>
  <c r="L541" i="3"/>
  <c r="N541" i="3"/>
  <c r="L486" i="3"/>
  <c r="N486" i="3"/>
  <c r="N474" i="3"/>
  <c r="L461" i="3"/>
  <c r="N461" i="3"/>
  <c r="N447" i="3"/>
  <c r="L447" i="3"/>
  <c r="N431" i="3"/>
  <c r="L431" i="3"/>
  <c r="L426" i="3"/>
  <c r="N426" i="3"/>
  <c r="N420" i="3"/>
  <c r="L258" i="3"/>
  <c r="N258" i="3"/>
  <c r="L126" i="3"/>
  <c r="N126" i="3"/>
  <c r="L552" i="3"/>
  <c r="N552" i="3"/>
  <c r="L544" i="3"/>
  <c r="N544" i="3"/>
  <c r="L518" i="3"/>
  <c r="N518" i="3"/>
  <c r="L478" i="3"/>
  <c r="N478" i="3"/>
  <c r="L435" i="3"/>
  <c r="N435" i="3"/>
  <c r="L471" i="3"/>
  <c r="N471" i="3"/>
  <c r="L543" i="3"/>
  <c r="N495" i="3"/>
  <c r="L495" i="3"/>
  <c r="L434" i="3"/>
  <c r="N434" i="3"/>
  <c r="L488" i="3"/>
  <c r="N488" i="3"/>
  <c r="L550" i="3"/>
  <c r="N550" i="3"/>
  <c r="L507" i="3"/>
  <c r="N507" i="3"/>
  <c r="L464" i="3"/>
  <c r="N464" i="3"/>
  <c r="L459" i="3"/>
  <c r="N459" i="3"/>
  <c r="N444" i="3"/>
  <c r="L568" i="3"/>
  <c r="N568" i="3"/>
  <c r="L493" i="3"/>
  <c r="N493" i="3"/>
  <c r="L231" i="3"/>
  <c r="N231" i="3"/>
  <c r="L214" i="3"/>
  <c r="N214" i="3"/>
  <c r="L4" i="3"/>
  <c r="N4" i="3"/>
  <c r="L472" i="3"/>
  <c r="N472" i="3"/>
  <c r="L454" i="3"/>
  <c r="N454" i="3"/>
  <c r="L449" i="3"/>
  <c r="N449" i="3"/>
  <c r="L443" i="3"/>
  <c r="N443" i="3"/>
  <c r="L242" i="3"/>
  <c r="N242" i="3"/>
  <c r="L236" i="3"/>
  <c r="N236" i="3"/>
  <c r="L230" i="3"/>
  <c r="N230" i="3"/>
  <c r="L120" i="3"/>
  <c r="N120" i="3"/>
  <c r="L3" i="3"/>
  <c r="N3" i="3"/>
  <c r="N529" i="3"/>
  <c r="L523" i="3"/>
  <c r="N523" i="3"/>
  <c r="L516" i="3"/>
  <c r="N516" i="3"/>
  <c r="L503" i="3"/>
  <c r="N503" i="3"/>
  <c r="L496" i="3"/>
  <c r="N496" i="3"/>
  <c r="L484" i="3"/>
  <c r="N484" i="3"/>
  <c r="L477" i="3"/>
  <c r="N477" i="3"/>
  <c r="L455" i="3"/>
  <c r="N455" i="3"/>
  <c r="L442" i="3"/>
  <c r="N442" i="3"/>
  <c r="L290" i="3"/>
  <c r="N290" i="3"/>
  <c r="L284" i="3"/>
  <c r="N284" i="3"/>
  <c r="L262" i="3"/>
  <c r="N262" i="3"/>
  <c r="L132" i="3"/>
  <c r="N132" i="3"/>
  <c r="N545" i="3"/>
  <c r="L539" i="3"/>
  <c r="N539" i="3"/>
  <c r="L532" i="3"/>
  <c r="N532" i="3"/>
  <c r="N522" i="3"/>
  <c r="L519" i="3"/>
  <c r="N519" i="3"/>
  <c r="N469" i="3"/>
  <c r="N441" i="3"/>
  <c r="L429" i="3"/>
  <c r="N429" i="3"/>
  <c r="L306" i="3"/>
  <c r="N306" i="3"/>
  <c r="L300" i="3"/>
  <c r="N300" i="3"/>
  <c r="L278" i="3"/>
  <c r="N278" i="3"/>
  <c r="L178" i="3"/>
  <c r="N178" i="3"/>
  <c r="L172" i="3"/>
  <c r="N172" i="3"/>
  <c r="L163" i="3"/>
  <c r="N163" i="3"/>
  <c r="L555" i="3"/>
  <c r="N555" i="3"/>
  <c r="L548" i="3"/>
  <c r="N548" i="3"/>
  <c r="N538" i="3"/>
  <c r="L535" i="3"/>
  <c r="N535" i="3"/>
  <c r="L491" i="3"/>
  <c r="N491" i="3"/>
  <c r="N465" i="3"/>
  <c r="L462" i="3"/>
  <c r="N462" i="3"/>
  <c r="L437" i="3"/>
  <c r="N437" i="3"/>
  <c r="N428" i="3"/>
  <c r="L402" i="3"/>
  <c r="N402" i="3"/>
  <c r="L390" i="3"/>
  <c r="N390" i="3"/>
  <c r="L374" i="3"/>
  <c r="N374" i="3"/>
  <c r="L358" i="3"/>
  <c r="N358" i="3"/>
  <c r="L342" i="3"/>
  <c r="N342" i="3"/>
  <c r="L326" i="3"/>
  <c r="N326" i="3"/>
  <c r="N311" i="3"/>
  <c r="L294" i="3"/>
  <c r="N294" i="3"/>
  <c r="L194" i="3"/>
  <c r="N194" i="3"/>
  <c r="L188" i="3"/>
  <c r="N188" i="3"/>
  <c r="L157" i="3"/>
  <c r="N157" i="3"/>
  <c r="L564" i="3"/>
  <c r="N564" i="3"/>
  <c r="L551" i="3"/>
  <c r="N551" i="3"/>
  <c r="L534" i="3"/>
  <c r="N534" i="3"/>
  <c r="L525" i="3"/>
  <c r="N525" i="3"/>
  <c r="L512" i="3"/>
  <c r="N512" i="3"/>
  <c r="N501" i="3"/>
  <c r="N490" i="3"/>
  <c r="L487" i="3"/>
  <c r="N487" i="3"/>
  <c r="L480" i="3"/>
  <c r="N480" i="3"/>
  <c r="L468" i="3"/>
  <c r="N468" i="3"/>
  <c r="N453" i="3"/>
  <c r="L410" i="3"/>
  <c r="N410" i="3"/>
  <c r="L396" i="3"/>
  <c r="N396" i="3"/>
  <c r="L380" i="3"/>
  <c r="N380" i="3"/>
  <c r="L364" i="3"/>
  <c r="N364" i="3"/>
  <c r="L348" i="3"/>
  <c r="N348" i="3"/>
  <c r="L332" i="3"/>
  <c r="N332" i="3"/>
  <c r="L210" i="3"/>
  <c r="N210" i="3"/>
  <c r="L204" i="3"/>
  <c r="N204" i="3"/>
  <c r="L182" i="3"/>
  <c r="N182" i="3"/>
  <c r="L567" i="3"/>
  <c r="N567" i="3"/>
  <c r="L528" i="3"/>
  <c r="N528" i="3"/>
  <c r="L494" i="3"/>
  <c r="N494" i="3"/>
  <c r="L445" i="3"/>
  <c r="N445" i="3"/>
  <c r="L418" i="3"/>
  <c r="N418" i="3"/>
  <c r="L386" i="3"/>
  <c r="N386" i="3"/>
  <c r="L370" i="3"/>
  <c r="N370" i="3"/>
  <c r="L354" i="3"/>
  <c r="N354" i="3"/>
  <c r="L338" i="3"/>
  <c r="N338" i="3"/>
  <c r="L322" i="3"/>
  <c r="N322" i="3"/>
  <c r="L315" i="3"/>
  <c r="N315" i="3"/>
  <c r="L310" i="3"/>
  <c r="N310" i="3"/>
  <c r="L226" i="3"/>
  <c r="N226" i="3"/>
  <c r="L220" i="3"/>
  <c r="N220" i="3"/>
  <c r="L198" i="3"/>
  <c r="N198" i="3"/>
  <c r="N446" i="3"/>
  <c r="N427" i="3"/>
  <c r="L392" i="3"/>
  <c r="N392" i="3"/>
  <c r="L376" i="3"/>
  <c r="N376" i="3"/>
  <c r="L360" i="3"/>
  <c r="N360" i="3"/>
  <c r="L344" i="3"/>
  <c r="N344" i="3"/>
  <c r="L328" i="3"/>
  <c r="N328" i="3"/>
  <c r="L304" i="3"/>
  <c r="N304" i="3"/>
  <c r="L288" i="3"/>
  <c r="N288" i="3"/>
  <c r="L272" i="3"/>
  <c r="N272" i="3"/>
  <c r="L256" i="3"/>
  <c r="N256" i="3"/>
  <c r="L240" i="3"/>
  <c r="N240" i="3"/>
  <c r="L224" i="3"/>
  <c r="N224" i="3"/>
  <c r="L208" i="3"/>
  <c r="N208" i="3"/>
  <c r="L192" i="3"/>
  <c r="N192" i="3"/>
  <c r="L176" i="3"/>
  <c r="N176" i="3"/>
  <c r="L29" i="3"/>
  <c r="N29" i="3"/>
  <c r="L9" i="3"/>
  <c r="N9" i="3"/>
  <c r="N553" i="3"/>
  <c r="N537" i="3"/>
  <c r="N521" i="3"/>
  <c r="N505" i="3"/>
  <c r="N489" i="3"/>
  <c r="N473" i="3"/>
  <c r="N457" i="3"/>
  <c r="L382" i="3"/>
  <c r="N382" i="3"/>
  <c r="L366" i="3"/>
  <c r="N366" i="3"/>
  <c r="L350" i="3"/>
  <c r="N350" i="3"/>
  <c r="L334" i="3"/>
  <c r="N334" i="3"/>
  <c r="L318" i="3"/>
  <c r="N318" i="3"/>
  <c r="L314" i="3"/>
  <c r="N314" i="3"/>
  <c r="N303" i="3"/>
  <c r="L298" i="3"/>
  <c r="N298" i="3"/>
  <c r="N287" i="3"/>
  <c r="L282" i="3"/>
  <c r="N282" i="3"/>
  <c r="N271" i="3"/>
  <c r="L266" i="3"/>
  <c r="N266" i="3"/>
  <c r="N255" i="3"/>
  <c r="L250" i="3"/>
  <c r="N250" i="3"/>
  <c r="N239" i="3"/>
  <c r="L234" i="3"/>
  <c r="N234" i="3"/>
  <c r="N223" i="3"/>
  <c r="L218" i="3"/>
  <c r="N218" i="3"/>
  <c r="N207" i="3"/>
  <c r="L202" i="3"/>
  <c r="N202" i="3"/>
  <c r="N191" i="3"/>
  <c r="L186" i="3"/>
  <c r="N186" i="3"/>
  <c r="N175" i="3"/>
  <c r="N78" i="3"/>
  <c r="L35" i="3"/>
  <c r="N35" i="3"/>
  <c r="N562" i="3"/>
  <c r="N546" i="3"/>
  <c r="N530" i="3"/>
  <c r="N514" i="3"/>
  <c r="N498" i="3"/>
  <c r="N482" i="3"/>
  <c r="N466" i="3"/>
  <c r="N450" i="3"/>
  <c r="N440" i="3"/>
  <c r="N432" i="3"/>
  <c r="L388" i="3"/>
  <c r="N388" i="3"/>
  <c r="L372" i="3"/>
  <c r="N372" i="3"/>
  <c r="L356" i="3"/>
  <c r="N356" i="3"/>
  <c r="L340" i="3"/>
  <c r="N340" i="3"/>
  <c r="L324" i="3"/>
  <c r="N324" i="3"/>
  <c r="L308" i="3"/>
  <c r="N308" i="3"/>
  <c r="L292" i="3"/>
  <c r="N292" i="3"/>
  <c r="L276" i="3"/>
  <c r="N276" i="3"/>
  <c r="L260" i="3"/>
  <c r="N260" i="3"/>
  <c r="L244" i="3"/>
  <c r="N244" i="3"/>
  <c r="L228" i="3"/>
  <c r="N228" i="3"/>
  <c r="L212" i="3"/>
  <c r="N212" i="3"/>
  <c r="L196" i="3"/>
  <c r="N196" i="3"/>
  <c r="L180" i="3"/>
  <c r="N180" i="3"/>
  <c r="L165" i="3"/>
  <c r="N165" i="3"/>
  <c r="L84" i="3"/>
  <c r="N84" i="3"/>
  <c r="L41" i="3"/>
  <c r="N41" i="3"/>
  <c r="L394" i="3"/>
  <c r="N394" i="3"/>
  <c r="L378" i="3"/>
  <c r="N378" i="3"/>
  <c r="L362" i="3"/>
  <c r="N362" i="3"/>
  <c r="L346" i="3"/>
  <c r="N346" i="3"/>
  <c r="L330" i="3"/>
  <c r="N330" i="3"/>
  <c r="N307" i="3"/>
  <c r="L302" i="3"/>
  <c r="N302" i="3"/>
  <c r="L286" i="3"/>
  <c r="N286" i="3"/>
  <c r="L270" i="3"/>
  <c r="N270" i="3"/>
  <c r="L254" i="3"/>
  <c r="N254" i="3"/>
  <c r="L238" i="3"/>
  <c r="N238" i="3"/>
  <c r="L222" i="3"/>
  <c r="N222" i="3"/>
  <c r="L206" i="3"/>
  <c r="N206" i="3"/>
  <c r="L190" i="3"/>
  <c r="N190" i="3"/>
  <c r="L174" i="3"/>
  <c r="N174" i="3"/>
  <c r="L121" i="3"/>
  <c r="N121" i="3"/>
  <c r="L83" i="3"/>
  <c r="N83" i="3"/>
  <c r="L77" i="3"/>
  <c r="N77" i="3"/>
  <c r="L52" i="3"/>
  <c r="N52" i="3"/>
  <c r="L384" i="3"/>
  <c r="N384" i="3"/>
  <c r="L368" i="3"/>
  <c r="N368" i="3"/>
  <c r="L352" i="3"/>
  <c r="N352" i="3"/>
  <c r="L336" i="3"/>
  <c r="N336" i="3"/>
  <c r="L320" i="3"/>
  <c r="N320" i="3"/>
  <c r="L312" i="3"/>
  <c r="N312" i="3"/>
  <c r="L296" i="3"/>
  <c r="N296" i="3"/>
  <c r="L280" i="3"/>
  <c r="N280" i="3"/>
  <c r="L264" i="3"/>
  <c r="N264" i="3"/>
  <c r="L248" i="3"/>
  <c r="N248" i="3"/>
  <c r="L232" i="3"/>
  <c r="N232" i="3"/>
  <c r="L216" i="3"/>
  <c r="N216" i="3"/>
  <c r="L200" i="3"/>
  <c r="N200" i="3"/>
  <c r="L184" i="3"/>
  <c r="N184" i="3"/>
  <c r="L89" i="3"/>
  <c r="N89" i="3"/>
  <c r="L170" i="3"/>
  <c r="N170" i="3"/>
  <c r="L166" i="3"/>
  <c r="N166" i="3"/>
  <c r="L137" i="3"/>
  <c r="N137" i="3"/>
  <c r="L131" i="3"/>
  <c r="N131" i="3"/>
  <c r="L125" i="3"/>
  <c r="N125" i="3"/>
  <c r="L100" i="3"/>
  <c r="N100" i="3"/>
  <c r="N88" i="3"/>
  <c r="L51" i="3"/>
  <c r="N51" i="3"/>
  <c r="L20" i="3"/>
  <c r="N20" i="3"/>
  <c r="N14" i="3"/>
  <c r="N8" i="3"/>
  <c r="L316" i="3"/>
  <c r="N313" i="3"/>
  <c r="N309" i="3"/>
  <c r="N305" i="3"/>
  <c r="N301" i="3"/>
  <c r="N297" i="3"/>
  <c r="N293" i="3"/>
  <c r="N289" i="3"/>
  <c r="N285" i="3"/>
  <c r="N281" i="3"/>
  <c r="N277" i="3"/>
  <c r="N273" i="3"/>
  <c r="N269" i="3"/>
  <c r="N265" i="3"/>
  <c r="N261" i="3"/>
  <c r="N257" i="3"/>
  <c r="N253" i="3"/>
  <c r="N249" i="3"/>
  <c r="N245" i="3"/>
  <c r="N241" i="3"/>
  <c r="N237" i="3"/>
  <c r="N233" i="3"/>
  <c r="N229" i="3"/>
  <c r="N225" i="3"/>
  <c r="N221" i="3"/>
  <c r="N217" i="3"/>
  <c r="N213" i="3"/>
  <c r="N209" i="3"/>
  <c r="N205" i="3"/>
  <c r="N201" i="3"/>
  <c r="N197" i="3"/>
  <c r="N193" i="3"/>
  <c r="N189" i="3"/>
  <c r="N185" i="3"/>
  <c r="N181" i="3"/>
  <c r="N177" i="3"/>
  <c r="N173" i="3"/>
  <c r="N169" i="3"/>
  <c r="N142" i="3"/>
  <c r="N136" i="3"/>
  <c r="L99" i="3"/>
  <c r="N99" i="3"/>
  <c r="L93" i="3"/>
  <c r="N93" i="3"/>
  <c r="L57" i="3"/>
  <c r="N57" i="3"/>
  <c r="L45" i="3"/>
  <c r="N45" i="3"/>
  <c r="L19" i="3"/>
  <c r="N19" i="3"/>
  <c r="L148" i="3"/>
  <c r="N148" i="3"/>
  <c r="L105" i="3"/>
  <c r="N105" i="3"/>
  <c r="L25" i="3"/>
  <c r="N25" i="3"/>
  <c r="L13" i="3"/>
  <c r="N13" i="3"/>
  <c r="L147" i="3"/>
  <c r="N147" i="3"/>
  <c r="L141" i="3"/>
  <c r="N141" i="3"/>
  <c r="L116" i="3"/>
  <c r="N116" i="3"/>
  <c r="N104" i="3"/>
  <c r="L68" i="3"/>
  <c r="N68" i="3"/>
  <c r="N30" i="3"/>
  <c r="N24" i="3"/>
  <c r="L168" i="3"/>
  <c r="N168" i="3"/>
  <c r="L153" i="3"/>
  <c r="N153" i="3"/>
  <c r="L115" i="3"/>
  <c r="N115" i="3"/>
  <c r="L109" i="3"/>
  <c r="N109" i="3"/>
  <c r="L73" i="3"/>
  <c r="N73" i="3"/>
  <c r="L67" i="3"/>
  <c r="N67" i="3"/>
  <c r="L61" i="3"/>
  <c r="N61" i="3"/>
  <c r="L36" i="3"/>
  <c r="N36" i="3"/>
  <c r="L151" i="3"/>
  <c r="N151" i="3"/>
  <c r="L135" i="3"/>
  <c r="N135" i="3"/>
  <c r="L119" i="3"/>
  <c r="N119" i="3"/>
  <c r="L103" i="3"/>
  <c r="N103" i="3"/>
  <c r="L87" i="3"/>
  <c r="N87" i="3"/>
  <c r="L71" i="3"/>
  <c r="N71" i="3"/>
  <c r="L55" i="3"/>
  <c r="N55" i="3"/>
  <c r="N44" i="3"/>
  <c r="L39" i="3"/>
  <c r="N39" i="3"/>
  <c r="N28" i="3"/>
  <c r="L23" i="3"/>
  <c r="N23" i="3"/>
  <c r="N12" i="3"/>
  <c r="L7" i="3"/>
  <c r="N7" i="3"/>
  <c r="N160" i="3"/>
  <c r="N150" i="3"/>
  <c r="L145" i="3"/>
  <c r="N145" i="3"/>
  <c r="L129" i="3"/>
  <c r="N129" i="3"/>
  <c r="N118" i="3"/>
  <c r="L113" i="3"/>
  <c r="N113" i="3"/>
  <c r="N102" i="3"/>
  <c r="L97" i="3"/>
  <c r="N97" i="3"/>
  <c r="L81" i="3"/>
  <c r="N81" i="3"/>
  <c r="L65" i="3"/>
  <c r="N65" i="3"/>
  <c r="N54" i="3"/>
  <c r="L49" i="3"/>
  <c r="N49" i="3"/>
  <c r="N38" i="3"/>
  <c r="L33" i="3"/>
  <c r="N33" i="3"/>
  <c r="N22" i="3"/>
  <c r="L17" i="3"/>
  <c r="N17" i="3"/>
  <c r="N6" i="3"/>
  <c r="L155" i="3"/>
  <c r="N155" i="3"/>
  <c r="N144" i="3"/>
  <c r="L139" i="3"/>
  <c r="N139" i="3"/>
  <c r="N128" i="3"/>
  <c r="L123" i="3"/>
  <c r="N123" i="3"/>
  <c r="N112" i="3"/>
  <c r="L107" i="3"/>
  <c r="N107" i="3"/>
  <c r="N96" i="3"/>
  <c r="L91" i="3"/>
  <c r="N91" i="3"/>
  <c r="N80" i="3"/>
  <c r="L75" i="3"/>
  <c r="N75" i="3"/>
  <c r="N64" i="3"/>
  <c r="L59" i="3"/>
  <c r="N59" i="3"/>
  <c r="L43" i="3"/>
  <c r="N43" i="3"/>
  <c r="N32" i="3"/>
  <c r="L27" i="3"/>
  <c r="N27" i="3"/>
  <c r="L11" i="3"/>
  <c r="N11" i="3"/>
  <c r="N159" i="3"/>
  <c r="N154" i="3"/>
  <c r="L149" i="3"/>
  <c r="N149" i="3"/>
  <c r="N138" i="3"/>
  <c r="L133" i="3"/>
  <c r="N133" i="3"/>
  <c r="N122" i="3"/>
  <c r="L117" i="3"/>
  <c r="N117" i="3"/>
  <c r="L101" i="3"/>
  <c r="N101" i="3"/>
  <c r="L85" i="3"/>
  <c r="N85" i="3"/>
  <c r="N74" i="3"/>
  <c r="L69" i="3"/>
  <c r="N69" i="3"/>
  <c r="N58" i="3"/>
  <c r="L53" i="3"/>
  <c r="N53" i="3"/>
  <c r="L37" i="3"/>
  <c r="N37" i="3"/>
  <c r="L21" i="3"/>
  <c r="N21" i="3"/>
  <c r="L5" i="3"/>
  <c r="N5" i="3"/>
  <c r="L143" i="3"/>
  <c r="N143" i="3"/>
  <c r="L127" i="3"/>
  <c r="N127" i="3"/>
  <c r="L111" i="3"/>
  <c r="N111" i="3"/>
  <c r="L95" i="3"/>
  <c r="N95" i="3"/>
  <c r="L79" i="3"/>
  <c r="N79" i="3"/>
  <c r="L63" i="3"/>
  <c r="N63" i="3"/>
  <c r="L47" i="3"/>
  <c r="N47" i="3"/>
  <c r="L31" i="3"/>
  <c r="N31" i="3"/>
  <c r="L15" i="3"/>
  <c r="N15" i="3"/>
  <c r="I2" i="3" l="1"/>
  <c r="J959" i="3" s="1"/>
  <c r="J2" i="3" l="1"/>
  <c r="N2" i="3" s="1"/>
  <c r="L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 xr:uid="{8BA08937-B2C6-425C-AE46-4BB455A73DE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2" shapeId="0" xr:uid="{9A6F2653-0178-4839-B932-56376931A96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I3" authorId="3" shapeId="0" xr:uid="{22A31B6E-F5AB-44A5-8D18-6058C4C90AB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4" shapeId="0" xr:uid="{13DEFC9C-47A8-43B1-AD1C-346BE79F32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5" shapeId="0" xr:uid="{B1B145C0-F482-4190-BCCF-6BBD13B5A1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6" shapeId="0" xr:uid="{1B9D6240-3CB3-48C4-B824-C14EDF787A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7" shapeId="0" xr:uid="{41C4BCA4-C314-407B-A873-9AB75CC1B2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8" shapeId="0" xr:uid="{EC8014CF-77F5-4A45-A5B0-1245D2D839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9" shapeId="0" xr:uid="{8F1315D2-AB68-427C-84AD-FB52BB689D0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0" shapeId="0" xr:uid="{B15C13BB-DFD6-463F-A85D-4CDD5EC709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8AEF5322-61D2-4C73-AE89-C4D48D65E6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E19F68C8-4F56-4EA4-97E3-873AACE77E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35F51104-EEAB-4CC1-90ED-8447C78DFB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DD09E2C6-1604-4BC7-B9A2-528F542F1B5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1350A227-1CD6-4325-876D-D4BD35B296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 xr:uid="{C0DE6A3E-567A-4382-A155-96B666A6D5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 xr:uid="{F13C3B0A-A14B-4F56-AE25-14D2BA80C06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 xr:uid="{C809BCCD-7568-41F1-9581-7324A58C761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 xr:uid="{7AAE8D44-FF34-44C4-88AA-923324A7C0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 xr:uid="{EC309E8A-54B0-4BD3-AFD6-D0CAE4D9170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 xr:uid="{F6751CCA-F9EA-42EE-BDF5-2C75B0501D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 xr:uid="{E250691C-F564-49D7-BEDB-332DDFE57A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 xr:uid="{11FFF0F0-219C-4106-92C1-83594BF3C2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 xr:uid="{C6CC5CCC-EF94-4C48-BBA3-614AC7BD52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 xr:uid="{D888F631-1A0B-4113-96C6-B265EE1C5B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 xr:uid="{7EA49C70-6F8B-416D-9267-66E003DA2F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<sst xmlns="http://schemas.openxmlformats.org/spreadsheetml/2006/main" count="5615" uniqueCount="1432">
  <si>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</si>
  <si>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</si>
  <si>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</si>
  <si>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</si>
  <si>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</si>
  <si>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</si>
  <si>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</si>
  <si>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</si>
  <si>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</si>
  <si>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</si>
  <si>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</si>
  <si>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</si>
  <si>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</si>
  <si>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</si>
  <si>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</si>
  <si>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</si>
  <si>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1</t>
  </si>
  <si>
    <t>2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</si>
  <si>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</si>
  <si>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</si>
  <si>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</si>
  <si>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</si>
  <si>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</si>
  <si>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</si>
  <si>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</si>
  <si>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</si>
  <si>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</si>
  <si>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</si>
  <si>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</si>
  <si>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000000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</si>
  <si>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</si>
  <si>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</si>
  <si>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</si>
  <si>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</si>
  <si>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</si>
  <si>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</si>
  <si>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</si>
  <si>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</si>
  <si>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</si>
  <si>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</si>
  <si>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</si>
  <si>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</si>
  <si>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</si>
  <si>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</si>
  <si>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</si>
  <si>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</si>
  <si>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</si>
  <si>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</si>
  <si>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</si>
  <si>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</si>
  <si>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</si>
  <si>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</si>
  <si>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</si>
  <si>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</si>
  <si>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</si>
  <si>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</si>
  <si>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</si>
  <si>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</si>
  <si>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</si>
  <si>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</si>
  <si>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</si>
  <si>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</si>
  <si>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</si>
  <si>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</si>
  <si>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</si>
  <si>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</si>
  <si>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</si>
  <si>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</si>
  <si>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</si>
  <si>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</si>
  <si>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</si>
  <si>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</si>
  <si>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</si>
  <si>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</si>
  <si>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</si>
  <si>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</si>
  <si>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</si>
  <si>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</si>
  <si>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</si>
  <si>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</si>
  <si>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</si>
  <si>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</si>
  <si>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</si>
  <si>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</si>
  <si>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</si>
  <si>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</si>
  <si>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</si>
  <si>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</si>
  <si>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</si>
  <si>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</si>
  <si>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</si>
  <si>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</si>
  <si>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</si>
  <si>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</si>
  <si>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</si>
  <si>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</si>
  <si>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</si>
  <si>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</si>
  <si>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</si>
  <si>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</si>
  <si>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</si>
  <si>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</si>
  <si>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</si>
  <si>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</si>
  <si>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</si>
  <si>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</si>
  <si>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</si>
  <si>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</si>
  <si>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</si>
  <si>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</si>
  <si>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</si>
  <si>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</si>
  <si>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</si>
  <si>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</si>
  <si>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</si>
  <si>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</si>
  <si>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</si>
  <si>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</si>
  <si>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</si>
  <si>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</si>
  <si>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</si>
  <si>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</si>
  <si>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</si>
  <si>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</si>
  <si>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</si>
  <si>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</si>
  <si>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</si>
  <si>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</si>
  <si>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</si>
  <si>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</si>
  <si>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</si>
  <si>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</si>
  <si>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</si>
  <si>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</si>
  <si>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</si>
  <si>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</si>
  <si>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</si>
  <si>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</si>
  <si>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</si>
  <si>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</si>
  <si>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</si>
  <si>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</si>
  <si>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</si>
  <si>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</si>
  <si>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</si>
  <si>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</si>
  <si>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</si>
  <si>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</si>
  <si>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</si>
  <si>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</si>
  <si>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</si>
  <si>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</si>
  <si>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</si>
  <si>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</si>
  <si>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</si>
  <si>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</si>
  <si>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</si>
  <si>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</si>
  <si>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</si>
  <si>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</si>
  <si>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</si>
  <si>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</si>
  <si>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</si>
  <si>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</si>
  <si>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</si>
  <si>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</si>
  <si>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</si>
  <si>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</si>
  <si>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</si>
  <si>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</si>
  <si>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</si>
  <si>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</si>
  <si>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</si>
  <si>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</si>
  <si>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</si>
  <si>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</si>
  <si>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</si>
  <si>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</si>
  <si>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</si>
  <si>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</si>
  <si>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</si>
  <si>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</si>
  <si>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</si>
  <si>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</si>
  <si>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</si>
  <si>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</si>
  <si>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</si>
  <si>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</si>
  <si>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</si>
  <si>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</si>
  <si>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</si>
  <si>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</si>
  <si>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</si>
  <si>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</si>
  <si>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</si>
  <si>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</si>
  <si>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</si>
  <si>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</si>
  <si>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</si>
  <si>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</si>
  <si>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</si>
  <si>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</si>
  <si>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</si>
  <si>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</si>
  <si>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</si>
  <si>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</si>
  <si>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</si>
  <si>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</si>
  <si>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</si>
  <si>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</si>
  <si>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</si>
  <si>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</si>
  <si>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</si>
  <si>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</si>
  <si>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</si>
  <si>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</si>
  <si>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</si>
  <si>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</si>
  <si>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</si>
  <si>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</si>
  <si>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</si>
  <si>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</si>
  <si>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</si>
  <si>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</si>
  <si>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</si>
  <si>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</si>
  <si>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</si>
  <si>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</si>
  <si>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</si>
  <si>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</si>
  <si>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</si>
  <si>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</si>
  <si>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</si>
  <si>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</si>
  <si>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</si>
  <si>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</si>
  <si>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</si>
  <si>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</si>
  <si>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</si>
  <si>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</si>
  <si>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</si>
  <si>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</si>
  <si>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</si>
  <si>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</si>
  <si>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</si>
  <si>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</si>
  <si>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</si>
  <si>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</si>
  <si>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</si>
  <si>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</si>
  <si>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</si>
  <si>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</si>
  <si>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</si>
  <si>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</si>
  <si>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</si>
  <si>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</si>
  <si>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</si>
  <si>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</si>
  <si>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</si>
  <si>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</si>
  <si>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</si>
  <si>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</si>
  <si>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</si>
  <si>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</si>
  <si>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</si>
  <si>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</si>
  <si>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</si>
  <si>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</si>
  <si>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</si>
  <si>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</si>
  <si>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</si>
  <si>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</si>
  <si>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</si>
  <si>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</si>
  <si>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</si>
  <si>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</si>
  <si>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</si>
  <si>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</si>
  <si>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</si>
  <si>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</si>
  <si>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</si>
  <si>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</si>
  <si>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</si>
  <si>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</si>
  <si>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</si>
  <si>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</si>
  <si>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</si>
  <si>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</si>
  <si>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</si>
  <si>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</si>
  <si>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</si>
  <si>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</si>
  <si>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</si>
  <si>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</si>
  <si>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</si>
  <si>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</si>
  <si>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</si>
  <si>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</si>
  <si>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</si>
  <si>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</si>
  <si>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</si>
  <si>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</si>
  <si>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</si>
  <si>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</si>
  <si>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</si>
  <si>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</si>
  <si>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</si>
  <si>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</si>
  <si>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</si>
  <si>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</si>
  <si>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</si>
  <si>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</si>
  <si>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</si>
  <si>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</si>
  <si>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</si>
  <si>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</si>
  <si>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</si>
  <si>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</si>
  <si>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</si>
  <si>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</si>
  <si>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</si>
  <si>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</si>
  <si>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</si>
  <si>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</si>
  <si>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</si>
  <si>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</si>
  <si>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</si>
  <si>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</si>
  <si>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</si>
  <si>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</si>
  <si>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</si>
  <si>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</si>
  <si>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</si>
  <si>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</si>
  <si>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</si>
  <si>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</si>
  <si>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</si>
  <si>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</si>
  <si>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</si>
  <si>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</si>
  <si>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</si>
  <si>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</si>
  <si>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</si>
  <si>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</si>
  <si>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</si>
  <si>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</si>
  <si>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</si>
  <si>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</si>
  <si>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</si>
  <si>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</si>
  <si>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</si>
  <si>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</si>
  <si>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</si>
  <si>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</si>
  <si>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</si>
  <si>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</si>
  <si>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</si>
  <si>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</si>
  <si>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</si>
  <si>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</si>
  <si>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</si>
  <si>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</si>
  <si>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</si>
  <si>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</si>
  <si>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</si>
  <si>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</si>
  <si>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</si>
  <si>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</si>
  <si>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</si>
  <si>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</si>
  <si>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</si>
  <si>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</si>
  <si>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</si>
  <si>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</si>
  <si>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</si>
  <si>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</si>
  <si>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</si>
  <si>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</si>
  <si>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</si>
  <si>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</si>
  <si>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</si>
  <si>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</si>
  <si>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</si>
  <si>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</si>
  <si>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</si>
  <si>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</si>
  <si>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</si>
  <si>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</si>
  <si>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</si>
  <si>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</si>
  <si>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</si>
  <si>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</si>
  <si>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</si>
  <si>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</si>
  <si>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</si>
  <si>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</si>
  <si>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</si>
  <si>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</si>
  <si>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</si>
  <si>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</si>
  <si>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</si>
  <si>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</si>
  <si>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</si>
  <si>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</si>
  <si>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</si>
  <si>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</si>
  <si>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</si>
  <si>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</si>
  <si>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</si>
  <si>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</si>
  <si>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</si>
  <si>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</si>
  <si>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</si>
  <si>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</si>
  <si>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</si>
  <si>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</si>
  <si>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</si>
  <si>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</si>
  <si>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</si>
  <si>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</si>
  <si>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</si>
  <si>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</si>
  <si>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</si>
  <si>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</si>
  <si>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</si>
  <si>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</si>
  <si>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</si>
  <si>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</si>
  <si>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</si>
  <si>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</si>
  <si>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</si>
  <si>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</si>
  <si>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</si>
  <si>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</si>
  <si>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</si>
  <si>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</si>
  <si>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</si>
  <si>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</si>
  <si>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</si>
  <si>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</si>
  <si>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</si>
  <si>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</si>
  <si>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</si>
  <si>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</si>
  <si>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</si>
  <si>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</si>
  <si>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</si>
  <si>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</si>
  <si>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</si>
  <si>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</si>
  <si>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</si>
  <si>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</si>
  <si>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</si>
  <si>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</si>
  <si>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</si>
  <si>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</si>
  <si>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</si>
  <si>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</si>
  <si>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</si>
  <si>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</si>
  <si>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</si>
  <si>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</si>
  <si>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</si>
  <si>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</si>
  <si>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</si>
  <si>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</si>
  <si>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</si>
  <si>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</si>
  <si>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</si>
  <si>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</si>
  <si>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</si>
  <si>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</si>
  <si>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</si>
  <si>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</si>
  <si>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</si>
  <si>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</si>
  <si>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</si>
  <si>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</si>
  <si>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</si>
  <si>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</si>
  <si>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</si>
  <si>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</si>
  <si>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</si>
  <si>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</si>
  <si>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</si>
  <si>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</si>
  <si>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</si>
  <si>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</si>
  <si>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</si>
  <si>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</si>
  <si>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</si>
  <si>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</si>
  <si>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</si>
  <si>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</si>
  <si>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</si>
  <si>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</si>
  <si>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</si>
  <si>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</si>
  <si>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</si>
  <si>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</si>
  <si>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</si>
  <si>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</si>
  <si>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</si>
  <si>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</si>
  <si>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</si>
  <si>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</si>
  <si>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</si>
  <si>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</si>
  <si>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</si>
  <si>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</si>
  <si>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</si>
  <si>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</si>
  <si>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</si>
  <si>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</si>
  <si>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</si>
  <si>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</si>
  <si>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</si>
  <si>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</si>
  <si>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</si>
  <si>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</si>
  <si>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</si>
  <si>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</si>
  <si>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</si>
  <si>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</si>
  <si>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</si>
  <si>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</si>
  <si>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</si>
  <si>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</si>
  <si>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</si>
  <si>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</si>
  <si>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</si>
  <si>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</si>
  <si>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</si>
  <si>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</si>
  <si>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</si>
  <si>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</si>
  <si>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</si>
  <si>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</si>
  <si>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</si>
  <si>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</si>
  <si>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</si>
  <si>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</si>
  <si>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</si>
  <si>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</si>
  <si>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</si>
  <si>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</si>
  <si>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</si>
  <si>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</si>
  <si>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</si>
  <si>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</si>
  <si>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</si>
  <si>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</si>
  <si>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</si>
  <si>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</si>
  <si>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</si>
  <si>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</si>
  <si>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</si>
  <si>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</si>
  <si>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</si>
  <si>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</si>
  <si>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</si>
  <si>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</si>
  <si>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</si>
  <si>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</si>
  <si>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</si>
  <si>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</si>
  <si>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</si>
  <si>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</si>
  <si>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</si>
  <si>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</si>
  <si>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</si>
  <si>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</si>
  <si>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</si>
  <si>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</si>
  <si>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</si>
  <si>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</si>
  <si>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</si>
  <si>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</si>
  <si>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</si>
  <si>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</si>
  <si>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</si>
  <si>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</si>
  <si>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</si>
  <si>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</si>
  <si>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</si>
  <si>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</si>
  <si>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</si>
  <si>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</si>
  <si>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</si>
  <si>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</si>
  <si>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</si>
  <si>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</si>
  <si>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</si>
  <si>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</si>
  <si>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</si>
  <si>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</si>
  <si>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</si>
  <si>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</si>
  <si>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</si>
  <si>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</si>
  <si>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</si>
  <si>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</si>
  <si>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</si>
  <si>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</si>
  <si>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</si>
  <si>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</si>
  <si>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</si>
  <si>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</si>
  <si>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</si>
  <si>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</si>
  <si>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</si>
  <si>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</si>
  <si>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</si>
  <si>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</si>
  <si>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</si>
  <si>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</si>
  <si>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</si>
  <si>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</si>
  <si>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</si>
  <si>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</si>
  <si>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</si>
  <si>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</si>
  <si>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</si>
  <si>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</si>
  <si>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</si>
  <si>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</si>
  <si>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</si>
  <si>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</si>
  <si>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</si>
  <si>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</si>
  <si>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</si>
  <si>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</si>
  <si>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</si>
  <si>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</si>
  <si>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</si>
  <si>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</si>
  <si>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</si>
  <si>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</si>
  <si>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</si>
  <si>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</si>
  <si>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</si>
  <si>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</si>
  <si>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</si>
  <si>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</si>
  <si>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</si>
  <si>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</si>
  <si>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</si>
  <si>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</si>
  <si>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</si>
  <si>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</si>
  <si>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</si>
  <si>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</si>
  <si>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</si>
  <si>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Period Dok Pendukung</t>
  </si>
  <si>
    <t>Diisi dengan bulan+tahun dari Dokumen SPPB (diambilkan dari bulan dan tahun Tanggal SPPB), contoh tanggal SPPB : 05-01-2025 , dituliskan menjadi : 012025</t>
  </si>
  <si>
    <t>13 - PPN DITANGGUNG PEMERINTAH EKSEKUSI PMK NOMOR 13 TAHUN 2025</t>
  </si>
  <si>
    <t>Update Deskripsi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</si>
  <si>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</si>
  <si>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</si>
  <si>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</si>
  <si>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</si>
  <si>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</si>
  <si>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</si>
  <si>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</si>
  <si>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</si>
  <si>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</si>
  <si>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</si>
  <si>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</si>
  <si>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</si>
  <si>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</si>
  <si>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</si>
  <si>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</si>
  <si>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</si>
  <si>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</si>
  <si>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</si>
  <si>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</si>
  <si>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</si>
  <si>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</si>
  <si>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</si>
  <si>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</si>
  <si>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</si>
  <si>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</si>
  <si>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</si>
  <si>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</si>
  <si>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</si>
  <si>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</si>
  <si>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</si>
  <si>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</si>
  <si>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</si>
  <si>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</si>
  <si>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</si>
  <si>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</si>
  <si>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</si>
  <si>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</si>
  <si>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</si>
  <si>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</si>
  <si>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</si>
  <si>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</si>
  <si>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</si>
  <si>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</si>
  <si>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</si>
  <si>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</si>
  <si>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</si>
  <si>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</si>
  <si>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</si>
  <si>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</si>
  <si>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</si>
  <si>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</si>
  <si>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</si>
  <si>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</si>
  <si>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</si>
  <si>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</si>
  <si>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</si>
  <si>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</si>
  <si>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</si>
  <si>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</si>
  <si>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</si>
  <si>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</si>
  <si>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</si>
  <si>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</si>
  <si>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</si>
  <si>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</si>
  <si>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</si>
  <si>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</si>
  <si>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</si>
  <si>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</si>
  <si>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</si>
  <si>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</si>
  <si>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</si>
  <si>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</si>
  <si>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</si>
  <si>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</si>
  <si>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</si>
  <si>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</si>
  <si>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</si>
  <si>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</si>
  <si>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</si>
  <si>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</si>
  <si>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</si>
  <si>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</si>
  <si>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</si>
  <si>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</si>
  <si>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</si>
  <si>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</si>
  <si>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</si>
  <si>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</si>
  <si>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</si>
  <si>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</si>
  <si>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</si>
  <si>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</si>
  <si>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</si>
  <si>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</si>
  <si>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</si>
  <si>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</si>
  <si>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</si>
  <si>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</si>
  <si>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</si>
  <si>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</si>
  <si>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</si>
  <si>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</si>
  <si>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</si>
  <si>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</si>
  <si>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</si>
  <si>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</si>
  <si>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</si>
  <si>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</si>
  <si>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</si>
  <si>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</si>
  <si>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</si>
  <si>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</si>
  <si>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</si>
  <si>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</si>
  <si>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</si>
  <si>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</si>
  <si>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</si>
  <si>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</si>
  <si>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</si>
  <si>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</si>
  <si>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</si>
  <si>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</si>
  <si>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</si>
  <si>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</si>
  <si>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</si>
  <si>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</si>
  <si>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</si>
  <si>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</si>
  <si>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</si>
  <si>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</si>
  <si>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</si>
  <si>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</si>
  <si>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</si>
  <si>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</si>
  <si>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</si>
  <si>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</si>
  <si>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</si>
  <si>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</si>
  <si>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</si>
  <si>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</si>
  <si>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</si>
  <si>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</si>
  <si>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</si>
  <si>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</si>
  <si>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</si>
  <si>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</si>
  <si>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</si>
  <si>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</si>
  <si>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</si>
  <si>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</si>
  <si>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</si>
  <si>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</si>
  <si>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</si>
  <si>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</si>
  <si>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</si>
  <si>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</si>
  <si>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</si>
  <si>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</si>
  <si>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</si>
  <si>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</si>
  <si>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</si>
  <si>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</si>
  <si>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 xml:space="preserve"> 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</si>
  <si>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</si>
  <si>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</si>
  <si>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</si>
  <si>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</si>
  <si>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</si>
  <si>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</si>
  <si>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</si>
  <si>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</si>
  <si>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</si>
  <si>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</si>
  <si>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</si>
  <si>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</si>
  <si>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</si>
  <si>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</si>
  <si>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</si>
  <si>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</si>
  <si>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</si>
  <si>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</si>
  <si>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</si>
  <si>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</si>
  <si>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</si>
  <si>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</si>
  <si>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</si>
  <si>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</si>
  <si>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</si>
  <si>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0027139484612000000000</t>
  </si>
  <si>
    <t>0027139484612000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</si>
  <si>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</si>
  <si>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</si>
  <si>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</si>
  <si>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</si>
  <si>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</si>
  <si>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</si>
  <si>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</si>
  <si>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</si>
  <si>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</si>
  <si>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</si>
  <si>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</si>
  <si>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</si>
  <si>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</si>
  <si>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</si>
  <si>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</si>
  <si>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</si>
  <si>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</si>
  <si>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</si>
  <si>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</si>
  <si>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</si>
  <si>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</si>
  <si>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</si>
  <si>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</si>
  <si>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</si>
  <si>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</si>
  <si>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</si>
  <si>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</si>
  <si>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</si>
  <si>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</si>
  <si>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</si>
  <si>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</si>
  <si>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</si>
  <si>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</si>
  <si>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</si>
  <si>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</si>
  <si>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</si>
  <si>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</si>
  <si>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</si>
  <si>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</si>
  <si>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</si>
  <si>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</si>
  <si>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</si>
  <si>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</si>
  <si>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</si>
  <si>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</si>
  <si>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</si>
  <si>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</si>
  <si>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</si>
  <si>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</si>
  <si>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</si>
  <si>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</si>
  <si>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</si>
  <si>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</si>
  <si>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0017254186415000</t>
  </si>
  <si>
    <t>0017186487624000</t>
  </si>
  <si>
    <t>KOPERASI PONDOK PESANTREN SIDOGIRI</t>
  </si>
  <si>
    <t>0017254186415000000000</t>
  </si>
  <si>
    <t>0017186487624000000000</t>
  </si>
  <si>
    <t>0851840850657000</t>
  </si>
  <si>
    <t>0605234236625000</t>
  </si>
  <si>
    <t>0410529531621000</t>
  </si>
  <si>
    <t>0017812140046000</t>
  </si>
  <si>
    <t>CV. SRIWIJAYA TIGA PUTRA</t>
  </si>
  <si>
    <t>JL. ROGONOTO NO. 245 RT.003 RW.004  LOSARI WETAN SINGOSARI KAB MALANG JAWA TIMUR</t>
  </si>
  <si>
    <t>CV. PODO LANCAR JAYA</t>
  </si>
  <si>
    <t>JL. DURIAN RT. 003 RW. 006 KEPUHARJO LUMAJANG KAB. LUMAJANG JAWA TIMUR</t>
  </si>
  <si>
    <t>CV AROMA JAYA</t>
  </si>
  <si>
    <t>JL.SETIA BUDI NO 25,RT.050 RW.003 MANISREJO TAMAN MADIUN</t>
  </si>
  <si>
    <t>DESA SIDOGIRI RT. 002 RW. 002 SIDOGIRI, KRATON, KABUPATEN PASURUAN, JAWA TIMUR, 67151</t>
  </si>
  <si>
    <t>FORISA NUSAPERSADA</t>
  </si>
  <si>
    <t>JL. BHUMIMAS II No.7 RT.003/ RW.003 KAWASAN INDUSTRI CIKUPA MAS, TALAGA, CIKUPA KAB. TANGERANG, BANTEN, 15710</t>
  </si>
  <si>
    <t>0851840850657000000000</t>
  </si>
  <si>
    <t>0605234236625000000000</t>
  </si>
  <si>
    <t>0410529531621000000000</t>
  </si>
  <si>
    <t>0017812140046000000000</t>
  </si>
  <si>
    <t>985-26-0002516</t>
  </si>
  <si>
    <t>985-26-0002519</t>
  </si>
  <si>
    <t>985-26-0002520</t>
  </si>
  <si>
    <t>985-26-0002521</t>
  </si>
  <si>
    <t>985-26-0002522</t>
  </si>
  <si>
    <t>985-26-0002523</t>
  </si>
  <si>
    <t>985-26-0002524</t>
  </si>
  <si>
    <t>985-26-0002540</t>
  </si>
  <si>
    <t>982-26-0001921</t>
  </si>
  <si>
    <t>982-26-0001983</t>
  </si>
  <si>
    <t>987-26-0003630</t>
  </si>
  <si>
    <t>987-26-0003649</t>
  </si>
  <si>
    <t>987-26-0003680</t>
  </si>
  <si>
    <t>987-26-0003597</t>
  </si>
  <si>
    <t>32/JEMBER/FORISA/I/2026</t>
  </si>
  <si>
    <t>988-26-0001030</t>
  </si>
  <si>
    <t>984-26-0003396</t>
  </si>
  <si>
    <t>984-26-0003442</t>
  </si>
  <si>
    <t>984-26-0003449</t>
  </si>
  <si>
    <t>984-26-0003465</t>
  </si>
  <si>
    <t>984-26-0003408</t>
  </si>
  <si>
    <t>989-26-0003990</t>
  </si>
  <si>
    <t>989-26-0003991</t>
  </si>
  <si>
    <t>989-26-0003981</t>
  </si>
  <si>
    <t>990-26-0002397</t>
  </si>
  <si>
    <t>990-26-0002400</t>
  </si>
  <si>
    <t>990-26-0002443</t>
  </si>
  <si>
    <t>990-26-0002461</t>
  </si>
  <si>
    <t>990-26-0002353</t>
  </si>
  <si>
    <t>986-26-0002525</t>
  </si>
  <si>
    <t>986-26-0002528</t>
  </si>
  <si>
    <t>986-26-0002588</t>
  </si>
  <si>
    <t>986-26-0002602</t>
  </si>
  <si>
    <t>986-26-0002608</t>
  </si>
  <si>
    <t>986-26-0002612</t>
  </si>
  <si>
    <t>986-26-0002613</t>
  </si>
  <si>
    <t>986-26-0002615</t>
  </si>
  <si>
    <t>986-26-0002616</t>
  </si>
  <si>
    <t>391-26-0003080</t>
  </si>
  <si>
    <t>391-26-0003082</t>
  </si>
  <si>
    <t>391-26-0003134</t>
  </si>
  <si>
    <t>391-26-0003178</t>
  </si>
  <si>
    <t>980-26-0006120</t>
  </si>
  <si>
    <t>064-26-0002735</t>
  </si>
  <si>
    <t>983-26-0003235</t>
  </si>
  <si>
    <t>983-26-0003256</t>
  </si>
  <si>
    <t>983-26-0003257</t>
  </si>
  <si>
    <t>983-26-0003260</t>
  </si>
  <si>
    <t>983-26-0003261</t>
  </si>
  <si>
    <t>983-26-0003272</t>
  </si>
  <si>
    <t>983-26-0003273</t>
  </si>
  <si>
    <t>983-26-0003274</t>
  </si>
  <si>
    <t>983-26-0003275</t>
  </si>
  <si>
    <t>983-26-0003277</t>
  </si>
  <si>
    <t>983-26-0003278</t>
  </si>
  <si>
    <t>983-26-0003279</t>
  </si>
  <si>
    <t>983-26-0003280</t>
  </si>
  <si>
    <t>983-26-0003262</t>
  </si>
  <si>
    <t>888-26-0001180</t>
  </si>
  <si>
    <t>888-26-0001183</t>
  </si>
  <si>
    <t>888-26-0001184</t>
  </si>
  <si>
    <t>981-26-0004855</t>
  </si>
  <si>
    <t>981-26-0004859</t>
  </si>
  <si>
    <t>981-26-0004861</t>
  </si>
  <si>
    <t>981-26-0004862</t>
  </si>
  <si>
    <t>981-26-0004863</t>
  </si>
  <si>
    <t>981-26-0004872</t>
  </si>
  <si>
    <t>981-26-0004873</t>
  </si>
  <si>
    <t>0740617790653000</t>
  </si>
  <si>
    <t>0837965136653000</t>
  </si>
  <si>
    <t>0604343350653000</t>
  </si>
  <si>
    <t>0435806328653000</t>
  </si>
  <si>
    <t>0925793143653000</t>
  </si>
  <si>
    <t>3572010903930001</t>
  </si>
  <si>
    <t>3572021707700005</t>
  </si>
  <si>
    <t>0022100713616000</t>
  </si>
  <si>
    <t>0438147399604000</t>
  </si>
  <si>
    <t>0505827782626000</t>
  </si>
  <si>
    <t>0830104519626000</t>
  </si>
  <si>
    <t>0965841539626000</t>
  </si>
  <si>
    <t>0422702860626000</t>
  </si>
  <si>
    <t>0713113629622000</t>
  </si>
  <si>
    <t>0994339034628000</t>
  </si>
  <si>
    <t>0288057920041000</t>
  </si>
  <si>
    <t>0656912904652000</t>
  </si>
  <si>
    <t>1091031211086181</t>
  </si>
  <si>
    <t>3524221502660001</t>
  </si>
  <si>
    <t>3524222909710001</t>
  </si>
  <si>
    <t>0202538484625000</t>
  </si>
  <si>
    <t>3508100505760001</t>
  </si>
  <si>
    <t>0661888875625000</t>
  </si>
  <si>
    <t>0426870200621000</t>
  </si>
  <si>
    <t>0808593081621000</t>
  </si>
  <si>
    <t>0023020829621000</t>
  </si>
  <si>
    <t>0637173683621000</t>
  </si>
  <si>
    <t>3519111008490002</t>
  </si>
  <si>
    <t>0045625902621000</t>
  </si>
  <si>
    <t>0960983088619000</t>
  </si>
  <si>
    <t>3519020106680001</t>
  </si>
  <si>
    <t>3528010808800004</t>
  </si>
  <si>
    <t>0753334721608000</t>
  </si>
  <si>
    <t>0830746244608000</t>
  </si>
  <si>
    <t>3525010304720010</t>
  </si>
  <si>
    <t>0711511253602000</t>
  </si>
  <si>
    <t>0832009161623000</t>
  </si>
  <si>
    <t>0314880832623000</t>
  </si>
  <si>
    <t>3573026005740003</t>
  </si>
  <si>
    <t>3573040506530005</t>
  </si>
  <si>
    <t>0015236920651000</t>
  </si>
  <si>
    <t>0726437254623000</t>
  </si>
  <si>
    <t>0020800298623000</t>
  </si>
  <si>
    <t>0819518903623000</t>
  </si>
  <si>
    <t>0967644832623000</t>
  </si>
  <si>
    <t>0430228692623000</t>
  </si>
  <si>
    <t>0843535196647000</t>
  </si>
  <si>
    <t>0935974048619000</t>
  </si>
  <si>
    <t>0862985009609000</t>
  </si>
  <si>
    <t>0816366280615000</t>
  </si>
  <si>
    <t>1000000005511448</t>
  </si>
  <si>
    <t>1000000005102568</t>
  </si>
  <si>
    <t>3578312607640001</t>
  </si>
  <si>
    <t>3578030109800003</t>
  </si>
  <si>
    <t>PT.LIMA SATU LIMA</t>
  </si>
  <si>
    <t>DSN JIMBE RT.004 RW.001 JIMBE KADEMANGAN KAB.BLITAR JAWA TIMUR 66161</t>
  </si>
  <si>
    <t>CV. PUSAT PLASTIK WIJAYA</t>
  </si>
  <si>
    <t>JL. SEDAP MALAM, RUKO NIAGA KAVLING X RT. 003 RW. 014 KEPANJEN KIDUL, KEPANJEN KIDUL KOTA BLITAR JAWA TIMUR</t>
  </si>
  <si>
    <t>CV. LANGGENG MAJU</t>
  </si>
  <si>
    <t>JL. TANJUNG BLOK.- NO.75 RT.001 RW.012 SUKOREJO SUKOREJO KOTA BLITAR JAWA TIMUR</t>
  </si>
  <si>
    <t>CV. YES MITRA GROSIR</t>
  </si>
  <si>
    <t>RAYA BARAT NO.43 RT.002 RW.001 KALIPANG SUTOJAYAN</t>
  </si>
  <si>
    <t>CV. MOROREJO</t>
  </si>
  <si>
    <t>JALAN MAWAR NO. 31 RT. 003 RW. 004 SUKOREJO, SUKOREJO KOTA BLITAR JAWA TIMUR</t>
  </si>
  <si>
    <t xml:space="preserve">IVAN DARMA SAPUTRA </t>
  </si>
  <si>
    <t>JL ANGGREK 49 KEPANJENKIDUL, KEPANJENKIDUL, KOTA BLITAR, JAWA TIMUR, 66111</t>
  </si>
  <si>
    <t>GATOT BASUKI RAHMAD</t>
  </si>
  <si>
    <t>JLN TANJUNG NO.216 RT.002 RW.011 PAKUNDEN-SUKOREJO BLITAR 66122</t>
  </si>
  <si>
    <t>TIGA DUA</t>
  </si>
  <si>
    <t>JL SIMOKERTO, 32, SIMOKERTO, SIMOKERTO, KOTA SURABAYA, JAWA TIMUR, 60143</t>
  </si>
  <si>
    <t>SEPAKAT MADJU BERSAMA</t>
  </si>
  <si>
    <t>MUTIARA MARGOMULYO PERMAI, A, 2, TANDES, TANDES, KOTA SURABAYA, JAWA TIMUR, 60185</t>
  </si>
  <si>
    <t>CV. DAILIE MUTIARA RETAIL</t>
  </si>
  <si>
    <t>DUSUN KRAJAN BLOK.1 RT.001 RW.017 PUGERKOLON,PUGER,JEMBER</t>
  </si>
  <si>
    <t>CV. OMA MADEG BARKAT</t>
  </si>
  <si>
    <t>DUSUN KRAJAN TIMUR RT. 002 RW. 011 MLOKOREJO PUGER KAB. JEMBER JAWA TIMUR 68164</t>
  </si>
  <si>
    <t>CV. LARISSO BALUNG PERKASA</t>
  </si>
  <si>
    <t>BALUNG NO. 169 BALUNG LOR KAB. JEMBER JAWA TIMUR</t>
  </si>
  <si>
    <t>CV, JEMBER RAYA AUTOPARTS</t>
  </si>
  <si>
    <t>JL. HOS COKROAMINOTO NO. 7-9 JEMBER KIDUL KALIWATES</t>
  </si>
  <si>
    <t>CV SARINAH AUTO GLOBAL ACCESSORIES (SAGA)</t>
  </si>
  <si>
    <t>JL BRIGJEND KATAMSO NO. 37-39 RT 003 RW 001 KEL KAMPUNG DALEM, KEC KEDIRI KOTA, KOTA KEDIRI, JAWA TIMUR</t>
  </si>
  <si>
    <t>CV ALDO FROZEN FOOD</t>
  </si>
  <si>
    <t>SIMPANG KARATE NO. 25 RT. 006 RW. 011 NGAGLIK, BATU KOTA BATU JAWA TIMUR</t>
  </si>
  <si>
    <t>PT. ENAK JAYA BERSAMA</t>
  </si>
  <si>
    <t>JL TAMAN PERMATA INDAH 2 BLOK N NO 27 RT 14 RW 15 PEJAGALAN PENJARINGAN KOTA ADM JAKARTA UTARA DKI JAKARTA</t>
  </si>
  <si>
    <t xml:space="preserve">CV. SUMBER ALAM OLI </t>
  </si>
  <si>
    <t>JL SUNANDAR PRIYO SUDARMO NO. 2 RT. 009 RW. 013 PURWANTORO BLIMBING KOTA MALANG JAWA TIMUR 65122</t>
  </si>
  <si>
    <t>RAHAYU ABADI SEJAHTERA</t>
  </si>
  <si>
    <t>JALAN WONOREJO D-14 RT.004 RW.001, WONOREJO, RUNGKUT, KOTA SURABAYA, JAWA TIMUR</t>
  </si>
  <si>
    <t>ACHWAN FEBRIANTO</t>
  </si>
  <si>
    <t>JL MADE KIDUL NO.08 RT. 003 RW. 008 MADE, MADE LAMONGAN, JAWA TIMUR</t>
  </si>
  <si>
    <t>HENRY FIRDAUS</t>
  </si>
  <si>
    <t>JL. SUNAN DRAJAT NO.243 RT.002 RW.004 TUMENGGUNGAN - LAMONGAN</t>
  </si>
  <si>
    <t>PT. NESYA DRINK MILK AND TEA</t>
  </si>
  <si>
    <t>DUSUN WEDUSAN RT.001 RW. 009 JATIROTO, JATIROTO KAB. LUMAJANG JAWA TIMUR</t>
  </si>
  <si>
    <t>SONNY SOETRISNO</t>
  </si>
  <si>
    <t>JL. DR SUTOMO NO 23 RT 001 RW 015 TOMPOKERSAN LUMAJANG KAB. LUMAJANG JAWA TIMUR 69311</t>
  </si>
  <si>
    <t>CV PODO LANCAR JAYA</t>
  </si>
  <si>
    <t xml:space="preserve">JL DURIAN RT003 RW006 KEPUHARJO LUMAJANG KAB LUMAJANG JAWA TIMUR </t>
  </si>
  <si>
    <t>CV. ANDI MOTOR PROBOLINGGO</t>
  </si>
  <si>
    <t>JL RAYA PANGLIMA SUDIRMAN NO.380 RT.002 RW.004 KEL.WIROBORANG KEC MAYANGAN KOTA PROBOLINGGO JAWA TIMUR</t>
  </si>
  <si>
    <t>CV. ABADI SEMBILAN BELAS</t>
  </si>
  <si>
    <t>SETIABUDI BLOK.- NO. 48 RT. 001 RW. 001 MOJOREJO TAMAN KOTA MADIUN JAWA TIMUR</t>
  </si>
  <si>
    <t>CV. MAJU SUKSES PERKASA</t>
  </si>
  <si>
    <t>JL H. URIP SUMOHARJO Blok-No.33 RT:12 RW:3 Kel. MANGUNHARJO Kec. MANGUHARJO, KOTA MADIUN, JAWA TIMUR, 63129</t>
  </si>
  <si>
    <t>USAHA BERSAMA SYAMSUNA</t>
  </si>
  <si>
    <t>JL. ADIL MAKMUR NO.98 DOLOPO DOLOPO DOLOPO KAB. MADIUN JAWA TIMUR</t>
  </si>
  <si>
    <t>CV. IKA ABADI JAYA</t>
  </si>
  <si>
    <t>RAJAWALI BLOK.- NO. 2 RT. 002 RW. 001, BANTENGAN WUNGU, KAB. MADIUN, JAWA TIMUR 63181</t>
  </si>
  <si>
    <t>HARIANTO SAMUEL</t>
  </si>
  <si>
    <t>JL MADURA NO.4 A RT 014 RW 004 KRAJAN MEJAYAN MADIUN JAWA TIMUR</t>
  </si>
  <si>
    <t xml:space="preserve">CV. GUNUNG MAS DJAYA </t>
  </si>
  <si>
    <t>JL. NUSA INDAH NO 15 RT.020 RW. 005 KRAJAN, MEJAYAN KAB. MADIUN JAWA TIMUR</t>
  </si>
  <si>
    <t>PT. UNICELL PRIMA LESTARI</t>
  </si>
  <si>
    <t xml:space="preserve"> EDUCITY RESIDENCE YOO-002 PAKUWON CITY, SURABAYA</t>
  </si>
  <si>
    <t>KASIANTO MUKSIN</t>
  </si>
  <si>
    <t>JL. ADIL MAKMUR RT 11 RW 02 BANGUNSARI, DOLOPO, MADIUN</t>
  </si>
  <si>
    <t>ABD KAFI MAKKI</t>
  </si>
  <si>
    <t xml:space="preserve">DSN. MAYANG NO. RT. 013 RW. 007 BRANTAPESISIR KEC. TLANAKAN PAMEKASAN </t>
  </si>
  <si>
    <t>SYARIAH NUSA UMAT GAPURA</t>
  </si>
  <si>
    <t>JL. RAYA GAPURA, GAPURA BARAT, GAPURA, KAB. SUMENEP, JAWA TIMUR, 69472</t>
  </si>
  <si>
    <t>GIRI TAZKIA</t>
  </si>
  <si>
    <t>JL. LUMBA-LUMBA, KOLOR, KOTA SUMENEP, KAB. SUMENEP, JAWA TIMUE, 69417</t>
  </si>
  <si>
    <t>MOCHTAR</t>
  </si>
  <si>
    <t>DS MENTARAS RT.012 RW.005 MENTARAS DUKUN KAB.GRESIK JAWA TIMUR</t>
  </si>
  <si>
    <t>CV.GEMINI 88</t>
  </si>
  <si>
    <t>JL.PB SUDIRMAN NO.88 RT.001 RW.003 KEL.SENTANAN KEC.MAGERSARI KOTA MOJOKERTO JAWA TIMUR</t>
  </si>
  <si>
    <t>CV. PULAU MAS</t>
  </si>
  <si>
    <t>JL. KYAI TAMIN NO. 52 RT. 004 RW. 006, SUKOHARJO, KLOJEN, KOTA MALANG - JAWA TIMUR</t>
  </si>
  <si>
    <t>CV SEDULUR</t>
  </si>
  <si>
    <t>JL. KOPRAL USMAN NO.59 RT/RW 001/004 SUKOHARJO KLOJEN KOTAMADYA MALANG JAWA TIMUR</t>
  </si>
  <si>
    <t>LANY</t>
  </si>
  <si>
    <t>JL. ARJUNO NO. 5 RT/RW 013/001, KAUMAN - KLOJEN, KOTA MALANG - JAWA TIMUR 65119</t>
  </si>
  <si>
    <t>KUSEN KUSUMO WIYONO</t>
  </si>
  <si>
    <t>JL. SIMPANG TAMAN AGUNG 4 RT.04 RW.06 PISANG CANDI, SUKUN MALANG</t>
  </si>
  <si>
    <t>PT. INTI CAKRAWALA CITRA</t>
  </si>
  <si>
    <t>JL. ANCOL BARAT I NO. 9 - 10, ANCOL PADEMANGAN JAKARTA UTARA DKI JAKARTA - 14430</t>
  </si>
  <si>
    <t>PT. RATU IDAMAN PRATAMA</t>
  </si>
  <si>
    <t>JL. K.H.AGUS SALIM NO. 18, SUKOHARJO - KLOJEN, MALANG</t>
  </si>
  <si>
    <t>CV. DWI JAYA ABADI</t>
  </si>
  <si>
    <t>JL.KYAI TAMIN NO.110A RT.004 RW.007 SUKOHARJO KLOJEN KOTA MALANG JAWA TIMUR</t>
  </si>
  <si>
    <t>CV. AVAN SATRIA GROSIRINDO</t>
  </si>
  <si>
    <t>JL. DANAU TOBA B/12A, SAWOJAJAR, SAWOJAJAR, KEDUNG KANDANG, KOTA MALANG - JAWA TIMUR</t>
  </si>
  <si>
    <t>PT. DEWA DEWI LESTARI</t>
  </si>
  <si>
    <t xml:space="preserve">JL. KOPRAL USMAN NO. 55 RT.01 RW.04 SUKOHARJO, KLOJEN, MALANG - JAWA TIMUR </t>
  </si>
  <si>
    <t>CV. INTIBOGA SUKSES ABADI</t>
  </si>
  <si>
    <t>JL.KYAI TAMIN NO.52 SUKOHARJO KLOJEN</t>
  </si>
  <si>
    <t>PT. ADUA ENAM PASTI JAYA</t>
  </si>
  <si>
    <t>JL KYAI TAMIN NO 127 RT 002 RW 004 SUKOHARJO KLOJEN</t>
  </si>
  <si>
    <t>ANUGERAH SANJAYA ABADI</t>
  </si>
  <si>
    <t>JL.SINOM PARIJOTO, 11,TAMBAKBAYAN, PONOROGO,KAB.PONOROGO,JAWA TIMUR,63414</t>
  </si>
  <si>
    <t>KARYA MAHIRA SHELLINDO</t>
  </si>
  <si>
    <t>JL KALIJUDAN, 24, KALIJUDAN, MULYOREJO, KOTA SURABAYA, JAWA TIMUR, 60114</t>
  </si>
  <si>
    <t>CV.BERKAT KUSUMA INDAH</t>
  </si>
  <si>
    <t>JALAN RAYA JEMURSARI NO.101 C RT 003 RW 010 .JEMUR WONOSARI.WONOCOLO KOTA SURABAYA JAWA TIMUR</t>
  </si>
  <si>
    <t>CV. PASTI JAYA BAN</t>
  </si>
  <si>
    <t>RUNGKUT MADYA NO 107 RT 001 RW 009 RUNGKUT KIDUL RUNGKUT SURABAYA</t>
  </si>
  <si>
    <t>DWI JAYA BERKAT LUBRISINDO</t>
  </si>
  <si>
    <t xml:space="preserve">JL RAYA TEJA NO 7 B RT 003 RW 003 JUNGCANGCANG PAMEKASAN KAB PAMEKASAN JAWA TIMUR </t>
  </si>
  <si>
    <t>TEKNOLOGI LAYANAN BENGKEL</t>
  </si>
  <si>
    <t>GEDUNG WIRAUSAHA LANTAI 1 UNIT 104, JALAN HR RASUNA SAID KAV. C-5 RT 003 RW. 001 KARET SETIABUDI, KOTA ADM JAKARTA SELATAN DKI JAKARTA</t>
  </si>
  <si>
    <t>SOEHONO TJIPTO HARDJO</t>
  </si>
  <si>
    <t>JL GAYUNGSARI TIMUR NO.6 MGN 3 RT.003 RW.006 MENANGGAL GAYUNGAN KOTA SURABAYA JAWA TIMUR 60234</t>
  </si>
  <si>
    <t>EKO KURNIADI WIDJAJANTO</t>
  </si>
  <si>
    <t>JL RUNGKUT LOR RL 3-A/2 , KALIRUNGKUT , RUNGKUT, KOTA SURABAYA, JAWA TIMUR</t>
  </si>
  <si>
    <t>0740617790653000000000</t>
  </si>
  <si>
    <t>0837965136653000000000</t>
  </si>
  <si>
    <t>0604343350653000000000</t>
  </si>
  <si>
    <t>0435806328653000000000</t>
  </si>
  <si>
    <t>0925793143653000000000</t>
  </si>
  <si>
    <t>3572010903930001000000</t>
  </si>
  <si>
    <t>3572021707700005000000</t>
  </si>
  <si>
    <t>0022100713616000000000</t>
  </si>
  <si>
    <t>0438147399604000000000</t>
  </si>
  <si>
    <t>0505827782626000000000</t>
  </si>
  <si>
    <t>0830104519626000000000</t>
  </si>
  <si>
    <t>0965841539626000000000</t>
  </si>
  <si>
    <t>0422702860626000000000</t>
  </si>
  <si>
    <t>0713113629622000000000</t>
  </si>
  <si>
    <t>0994339034628000000000</t>
  </si>
  <si>
    <t>0288057920041000000000</t>
  </si>
  <si>
    <t>0656912904652000000000</t>
  </si>
  <si>
    <t>1091031211086181000000</t>
  </si>
  <si>
    <t>3524221502660001000000</t>
  </si>
  <si>
    <t>3524222909710001000000</t>
  </si>
  <si>
    <t>0202538484625000000000</t>
  </si>
  <si>
    <t>3508100505760001000000</t>
  </si>
  <si>
    <t>0661888875625000000000</t>
  </si>
  <si>
    <t>0426870200621000000000</t>
  </si>
  <si>
    <t>0808593081621000000000</t>
  </si>
  <si>
    <t>0023020829621000000000</t>
  </si>
  <si>
    <t>0637173683621000000000</t>
  </si>
  <si>
    <t>3519111008490002000000</t>
  </si>
  <si>
    <t>0045625902621000000000</t>
  </si>
  <si>
    <t>0960983088619000000000</t>
  </si>
  <si>
    <t>3519020106680001000000</t>
  </si>
  <si>
    <t>3528010808800004000000</t>
  </si>
  <si>
    <t>0753334721608000000000</t>
  </si>
  <si>
    <t>0830746244608000000000</t>
  </si>
  <si>
    <t>3525010304720010000000</t>
  </si>
  <si>
    <t>0711511253602000000000</t>
  </si>
  <si>
    <t>0832009161623000000000</t>
  </si>
  <si>
    <t>0314880832623000000000</t>
  </si>
  <si>
    <t>3573026005740003000000</t>
  </si>
  <si>
    <t>3573040506530005000000</t>
  </si>
  <si>
    <t>0015236920651000000000</t>
  </si>
  <si>
    <t>0726437254623000000000</t>
  </si>
  <si>
    <t>0020800298623000000000</t>
  </si>
  <si>
    <t>0819518903623000000000</t>
  </si>
  <si>
    <t>0967644832623000000000</t>
  </si>
  <si>
    <t>0430228692623000000000</t>
  </si>
  <si>
    <t>0843535196647000000000</t>
  </si>
  <si>
    <t>0935974048619000000000</t>
  </si>
  <si>
    <t>0862985009609000000000</t>
  </si>
  <si>
    <t>0816366280615000000000</t>
  </si>
  <si>
    <t>1000000005511448000000</t>
  </si>
  <si>
    <t>1000000005102568000000</t>
  </si>
  <si>
    <t>3578312607640001000003</t>
  </si>
  <si>
    <t>3578030109800003000000</t>
  </si>
  <si>
    <t>Nutrijell Mango 12x12x15gr</t>
  </si>
  <si>
    <t>Nutrijell Eko Grape 12x12x10gr</t>
  </si>
  <si>
    <t>Nutrijell Eko Mangga 12x12x10gr</t>
  </si>
  <si>
    <t>Nutrijell Eko Coklat 12x12x20gr</t>
  </si>
  <si>
    <t>Nutrijell Eko Blueberry 12x12x10gr</t>
  </si>
  <si>
    <t>Pudding Santan Rasa Pandan 36x130gr</t>
  </si>
  <si>
    <t>Pudding Susu Stroberi 36x145gr</t>
  </si>
  <si>
    <t>Pudding Susu Mangga 36x130gr</t>
  </si>
  <si>
    <t>Pudding Susu Coklat 36x145gr</t>
  </si>
  <si>
    <t>Pudding Susu Vanila 36x120gr</t>
  </si>
  <si>
    <t>Pudding Susu Capucino 36x145gr</t>
  </si>
  <si>
    <t>Pudding Lapis Cocopandan 36x110gr</t>
  </si>
  <si>
    <t>Pudding Lapis Gula Jawa 36x100gr</t>
  </si>
  <si>
    <t>Nutrijell Coffee 12x12x20gr</t>
  </si>
  <si>
    <t>Pudding Susu Belgian Chocolate 36x130gr</t>
  </si>
  <si>
    <t>Pudding Susu Melon 36x145gr</t>
  </si>
  <si>
    <t>Pudding Susu Korean Strawberry 36x145g</t>
  </si>
  <si>
    <t>Silky Pudding Taro Pouch 24X110 gr</t>
  </si>
  <si>
    <t>Silky Pudding Bubble Gum Pouch 24X110 gr</t>
  </si>
  <si>
    <t>Silky Pudding Matcha Pouch 24x110gr</t>
  </si>
  <si>
    <t>Nutrijell Eko Cincau Hitam 12x12x5gr</t>
  </si>
  <si>
    <t>Agaria Eko Putih 24x12x7g</t>
  </si>
  <si>
    <t>Agaria Eko Coklat 24x12x7g</t>
  </si>
  <si>
    <t>Nutrijell Orange 12x12x15gr</t>
  </si>
  <si>
    <t>Nutrijell Grape 12x12x15gr</t>
  </si>
  <si>
    <t>My Vla Coklat 12x6x63gr</t>
  </si>
  <si>
    <t>My Vla Vanila 12x6x60gr</t>
  </si>
  <si>
    <t>Pop Ice Melon 5(5x10)25gr</t>
  </si>
  <si>
    <t>Pop Ice Chocolate 5(5x10)25gr</t>
  </si>
  <si>
    <t>Pop Ice Durian 5(5x10)25gr</t>
  </si>
  <si>
    <t>Pop Ice Doger 5(5x10)25gr</t>
  </si>
  <si>
    <t>Pop Ice Taro 5(5x10)25gr</t>
  </si>
  <si>
    <t>Pop Ice Cappucino 5(5x10)25gr</t>
  </si>
  <si>
    <t>Pop Ice Avocado 5(5x10)25gr</t>
  </si>
  <si>
    <t>Pop Ice Permen Karet 5(5x10)25gr</t>
  </si>
  <si>
    <t>Pop Ice Blueberry 5(5x10)25gr</t>
  </si>
  <si>
    <t>Anget Sari Susu Jahe 250 5(5x10)28gr</t>
  </si>
  <si>
    <t>Anget Sari Wedang Jahe 12(2X10)24gr</t>
  </si>
  <si>
    <t>Susu Kambing Etawa Original 120 6(2X10) 20GR</t>
  </si>
  <si>
    <t>Pop Ice Tutti Frutti Bubble Gum 5(5x10)23gr</t>
  </si>
  <si>
    <t>Pop Ice Cotton Candy 5(5x10)23gr</t>
  </si>
  <si>
    <t>Pop Ice Sultan Cookies &amp; Cream</t>
  </si>
  <si>
    <t>Top Ice Momorio Choco 6(8x10)7gr</t>
  </si>
  <si>
    <t>Top Ice Taro 6(12X10)7gr</t>
  </si>
  <si>
    <t>Nutrijell Cincau Hitam 12x12x15gr</t>
  </si>
  <si>
    <t>Happy Pudding Strawberry Inner Box 10 (10x60gr)</t>
  </si>
  <si>
    <t>Nutrijell Strawberry 12x12x15gr</t>
  </si>
  <si>
    <t>Nutrijell Melon 12x12x15gr</t>
  </si>
  <si>
    <t>Nutrijell Chocolate 12x12x30gr</t>
  </si>
  <si>
    <t>Nutrijell Plain 12x12x15gr</t>
  </si>
  <si>
    <t>Nutrijell Lychee 12x12x15gr</t>
  </si>
  <si>
    <t>Pop Ice Mango 5(5x10)25gr</t>
  </si>
  <si>
    <t>Teh Sisri Blackcurrant 6(12x10)8gr</t>
  </si>
  <si>
    <t>Agarasa Vanilla 12x6x11gr</t>
  </si>
  <si>
    <t>Pop Ice Active Thunder Choco Malt</t>
  </si>
  <si>
    <t>Teh Sisri Apel  6(12x10)8gr</t>
  </si>
  <si>
    <t>Teh Sisri Gula Batu 6(12x10)8gr</t>
  </si>
  <si>
    <t>Agaria Eko Coklat P2 F1 24x12x7g</t>
  </si>
  <si>
    <t>Agarasa Susu 12x6x42gr</t>
  </si>
  <si>
    <t>Nutrijell Eko Kurma Ajwa 12x12x10gr</t>
  </si>
  <si>
    <t>Nutrijell Eko Plain 12x12x10gr</t>
  </si>
  <si>
    <t>Happy Pudding Coklat Inner Box 10(10x60gr)</t>
  </si>
  <si>
    <t>Happy Pudding Vanilla Inner Box 10 (10x60gr)</t>
  </si>
  <si>
    <t>Happy Pudding Mango Inner Box 10(10x60gr)</t>
  </si>
  <si>
    <t>Oshihiro jelly Peach 24x6x20gr</t>
  </si>
  <si>
    <t>Oshihiro jelly Grape 24x6x20gr</t>
  </si>
  <si>
    <t>Nutrijell Eko Strawberry 12x12x5gr</t>
  </si>
  <si>
    <t>Nutrijell Eko Orange 12x12x10gr</t>
  </si>
  <si>
    <t>Nutrijell Eko Melon 12x12x10gr</t>
  </si>
  <si>
    <t>Nutrijell Eko Guava 12x12x10gr</t>
  </si>
  <si>
    <t>Nutrijell Eko Leci 12x12x10gr</t>
  </si>
  <si>
    <t>Nutrijell Eko Kelapa Muda 12x12x7gr</t>
  </si>
  <si>
    <t>HELIX ECO PLUS 5W-30 (4X3L)</t>
  </si>
  <si>
    <t>Mentos Roll Buah (11P) 18x14x29g</t>
  </si>
  <si>
    <t>CC Big Babol Stick Hanger TF,SC,BB 20x12x20g</t>
  </si>
  <si>
    <t>Happydent CW Mint Pouch 24x50x2.8g</t>
  </si>
  <si>
    <t>Mentos Bag Mint 40x50x2.7g</t>
  </si>
  <si>
    <t>Mentos Bag Buah 40x50x2.7g</t>
  </si>
  <si>
    <t>Mentos Jar Mint 12x200x2.7g</t>
  </si>
  <si>
    <t>Mentos Mini Jar Rainbow 12x70x10g</t>
  </si>
  <si>
    <t>CC Big Babol Bag Assorted 12x100x3.8g</t>
  </si>
  <si>
    <t>CC Big Babol Bag Assorted 16x40x3.8g</t>
  </si>
  <si>
    <t>CC Big Babol Bag Tutti Fruity 16x40x3.8g</t>
  </si>
  <si>
    <t>CC Big Babol Bag Strawberry Cream 16x40x3.8g</t>
  </si>
  <si>
    <t>Finto Orange (One Sch) 6(12x10)8gr</t>
  </si>
  <si>
    <t>Finto Grape (One Sch) 6(12x10)8gr</t>
  </si>
  <si>
    <t>Top Ice Stroberi 6(12x10)8gr</t>
  </si>
  <si>
    <t>Top Ice Melon 6(12x10)8gr</t>
  </si>
  <si>
    <t>Top Ice Coklat 6(12x10)8gr</t>
  </si>
  <si>
    <t>Top Ice Vanilablue 6(12x10)8gr</t>
  </si>
  <si>
    <t>Top Ice Cappucino 6(12x10)8gr</t>
  </si>
  <si>
    <t>Teh Sisri Lemon 6(12x10)8gr</t>
  </si>
  <si>
    <t>Agarasa Coklat 12x6x22gr</t>
  </si>
  <si>
    <t>Top Ice Coklat Biskuit 6(12X10)7.3gr</t>
  </si>
  <si>
    <t>Pop Ice Italian Chociato 5(5x10)25gr</t>
  </si>
  <si>
    <t>Top Ice Mango 6(12X10)7gr</t>
  </si>
  <si>
    <t>Agaria Eko Hijau 24x12x7g</t>
  </si>
  <si>
    <t>Djelly Strawberry Non Promo 12x12x10gr</t>
  </si>
  <si>
    <t>Nutrijell Eko Dark Choco 12x12x12gr</t>
  </si>
  <si>
    <t>Silky Pudding Korean Straw Pouch 24X110 gr</t>
  </si>
  <si>
    <t>Silky Pudding Avocado 12X155 gr</t>
  </si>
  <si>
    <t>Finto Strawberry (One Sch) 6(12x10)8gr</t>
  </si>
  <si>
    <t>Finto Melon (One Sch) 6(12x10)8gr</t>
  </si>
  <si>
    <t>Pop Ice Strawberry 5(5x10)25gr</t>
  </si>
  <si>
    <t>Pop Ice Vanila Blue 5(5x10)25gr</t>
  </si>
  <si>
    <t>Pop Ice Coklat Biskuit 5(5x10)25gr</t>
  </si>
  <si>
    <t>Pop Ice Kacang Hijau 5(5x10)25gr</t>
  </si>
  <si>
    <t>Nutricake Brownies Coklat 36X230gr</t>
  </si>
  <si>
    <t>Troboss Anggur 6(12x10)6gr</t>
  </si>
  <si>
    <t>Djelly Kelapa Muda Non Promo 12x12x10gr</t>
  </si>
  <si>
    <t>Djelly Cincau Hitam Non Promo 12x12x10gr</t>
  </si>
  <si>
    <t>Silky Pudding Chocolate Pouch 24X110 gr</t>
  </si>
  <si>
    <t>Pop Ice Vanilalatte 5(5x10)25gr</t>
  </si>
  <si>
    <t>Djelly Coklat Non Promo 12x12x12gr</t>
  </si>
  <si>
    <t>Djelly Anggur Non Promo 12x12x10gr</t>
  </si>
  <si>
    <t>Nutrijell Banana 12x12x30gr</t>
  </si>
  <si>
    <t>RIMULA R5 E 10W-40 (4X4L)</t>
  </si>
  <si>
    <t>HELIX HX6 10W-40 (4X4L)</t>
  </si>
  <si>
    <t>HELIX HX5 15W-40 (4X4L)</t>
  </si>
  <si>
    <t>HELIX ECO PLUS 5W-30 (12X0.5L)</t>
  </si>
  <si>
    <t>GREBEK KAROMAH INSANI NELAYAN DI PELABUHAN PUGER</t>
  </si>
  <si>
    <t>HELIX HX3 20W-50 (4X4L)</t>
  </si>
  <si>
    <t>RIMULA R2 40 (3X5L)</t>
  </si>
  <si>
    <t>SPIRAX S2 G80W-90_A04W (12X1L)</t>
  </si>
  <si>
    <t>SPIRAX S2 A 80W-90 12X1L</t>
  </si>
  <si>
    <t>SHELL RIMULA R4 PLUS 15W-40 (3X5L)</t>
  </si>
  <si>
    <t>HELIX CITY 0W-20 (12X1L)</t>
  </si>
  <si>
    <t>Teh Sisri Extract 6(12x10)8gr</t>
  </si>
  <si>
    <t>Nutrijell Dark Choco 12x12x24gr</t>
  </si>
  <si>
    <t>Pop Ice Grape 5(5x10)25gr</t>
  </si>
  <si>
    <t>Pop Ice Sirsak 5(5x10)25gr</t>
  </si>
  <si>
    <t>Pop Ice Choco Cream 5(5x10)25gr</t>
  </si>
  <si>
    <t>Top Ice Anggur 6(12x10)8gr</t>
  </si>
  <si>
    <t>Teh Sisri Melati 6(12x10)8gr</t>
  </si>
  <si>
    <t>Susu Kambing Etawa Madu 120 6(2X10) 20GR</t>
  </si>
  <si>
    <t>Susu Kambing Etawa Madu Innerbox 24 (INBOX X5sct) 20 gr</t>
  </si>
  <si>
    <t>Susu Kambing Etawa Original Innerbox 24 (INBOX X5sct) 20 gr</t>
  </si>
  <si>
    <t>Pop Ice Choco Cheese 5(5x10)25gr</t>
  </si>
  <si>
    <t>Pop Ice Grape Muscat Candy 5(5x10)23gr</t>
  </si>
  <si>
    <t>Pop Ice Sultan Matcha Coffe Latte</t>
  </si>
  <si>
    <t>Pop Ice Sultan Matcha Cookies Latte</t>
  </si>
  <si>
    <t>Top Ice Coklat Es Krim 6(12x10)7gr</t>
  </si>
  <si>
    <t>Top Ice Coklat Keju 6(12x10)7gr</t>
  </si>
  <si>
    <t>Top Ice Coklat Caramel 6(12x10)7gr</t>
  </si>
  <si>
    <t>Top Ice Coklat Wafer 6(12x10)7gr</t>
  </si>
  <si>
    <t>Top Ice Vanila Latte 6(12x10) 7gr</t>
  </si>
  <si>
    <t>Top Ice Wafer Keju 6(12X10)7gr</t>
  </si>
  <si>
    <t>Top Ice Malkist Keju 6(12x10) 7gr</t>
  </si>
  <si>
    <t>Top Ice Bubble Gum Sch 6(12X10)7gr</t>
  </si>
  <si>
    <t>Top Ice Kopi Gula Aren 6(12x10)7gr</t>
  </si>
  <si>
    <t>Top Ice Moca Freeze 6(12x10)7gr</t>
  </si>
  <si>
    <t>TEH TJAP SOLO 5(3X10)35GR</t>
  </si>
  <si>
    <t>Nutrijell Avocado 12x12x30gr</t>
  </si>
  <si>
    <t>Silky Pudding Chocolate 12X155 gr</t>
  </si>
  <si>
    <t>Silky Pudding Taro 12X155 gr</t>
  </si>
  <si>
    <t>HELIX ULTRA ECT 5W-30 (4X4L)</t>
  </si>
  <si>
    <t>Mentos Bag Feeling Berry Good 40x45</t>
  </si>
  <si>
    <t>Alpenliebe Bag Caramel 40x50x2.5g</t>
  </si>
  <si>
    <t>Alpenliebe Bag Strawberry 40x50x2.5g</t>
  </si>
  <si>
    <t>Alpenliebe Lolly Hanger Caramel 8x24x10.5g</t>
  </si>
  <si>
    <t>Alpenliebe Lolly Hanger Strawberry 8x24x10.5g</t>
  </si>
  <si>
    <t>CC Big Babol Bag Asteroids Tutti Fruity 16x40x3.8g</t>
  </si>
  <si>
    <t>Nutrijell Balance Colour Sirsak 12x12x15gr</t>
  </si>
  <si>
    <t>Pudding Susu Caramel 36x130gr</t>
  </si>
  <si>
    <t>Nutrijell Kelapa Muda 12x12x15gr</t>
  </si>
  <si>
    <t>Silky Pudding Korean Strawberry 12X 155gr</t>
  </si>
  <si>
    <t>Pop Ice Moccacino 5(5x10)25gr</t>
  </si>
  <si>
    <t>Top Ice Vanilla 6(12x10)8gr</t>
  </si>
  <si>
    <t>Teh Sisri Gula Batu Alufoil 6(12x10)8gr</t>
  </si>
  <si>
    <t>Pop Ice Sultan Pop Corn Caramel</t>
  </si>
  <si>
    <t>Pop Ice Sultan Marie Biscuit 5(5x10)23gr</t>
  </si>
  <si>
    <t>SHELL RIMULA R4 PLUS 15W-40 (12X1L)</t>
  </si>
  <si>
    <t>Jelly Shake Lychee 12X340ML</t>
  </si>
  <si>
    <t>Silky Pudding Avocado Pouch 24x110gr</t>
  </si>
  <si>
    <t>Pop Ice Coklat Susu 5(5x10)25gr</t>
  </si>
  <si>
    <t>Top Ice Blueberry 6(12x10)8gr</t>
  </si>
  <si>
    <t>Anget Sari Jahe Jeruk Nipis 5(5x10)28gr</t>
  </si>
  <si>
    <t>HELIX HX3 20W-50 (12X1L)</t>
  </si>
  <si>
    <t>Pop Ice Guava 5(5x10)25gr</t>
  </si>
  <si>
    <t>Pop Ice Cream Cheese 5(5x10)25gr</t>
  </si>
  <si>
    <t>Pop Ice Es Teler 5(5x10)25gr</t>
  </si>
  <si>
    <t>Teh Sisri Cincau  6(12x10)8gr</t>
  </si>
  <si>
    <t>Teh Sisri Mangga 6(12x10)8gr</t>
  </si>
  <si>
    <t>Pop Ice Lychee 5(5x10)25gr</t>
  </si>
  <si>
    <t>Pop Ice CD Double Choco P'10 4(3X10+10)23gr</t>
  </si>
  <si>
    <t>Agaria Eko Merah P2 F1 24x12x7g</t>
  </si>
  <si>
    <t>Agarasa Strawberry 12x6x11gr</t>
  </si>
  <si>
    <t>Agarasa Melon 12x6x11gr</t>
  </si>
  <si>
    <t>Silky Pudding Lychee Pouch 24X110 gr</t>
  </si>
  <si>
    <t>Nutrijell Guava 12x12x15gr</t>
  </si>
  <si>
    <t>Nutrijell Balance Colour Delima 12x12x15gr</t>
  </si>
  <si>
    <t>Nutrijell Yoghurt Strawberry 12x12x35gr</t>
  </si>
  <si>
    <t>Nutrijell Yoghurt Blackcurrant 12x12x35gr</t>
  </si>
  <si>
    <t>Nutrijell Gedong Mango 12x12x15gr</t>
  </si>
  <si>
    <t>Silky Pudding Biscuit 12X155 gr</t>
  </si>
  <si>
    <t>Happy Pudding Taro Inner Box 10(10x60gr)</t>
  </si>
  <si>
    <t>Silky Pudding Bubble Gum 12X155 gr</t>
  </si>
  <si>
    <t>Jelly Shake Guava 12X340ML</t>
  </si>
  <si>
    <t>Jelly Shake Orange 12X340ML</t>
  </si>
  <si>
    <t>Top Ice Durian 6(12x10)8gr</t>
  </si>
  <si>
    <t>Jelly Shake Young Coconut 12X340ML</t>
  </si>
  <si>
    <t>Pop Ice Sultan Brown Sugar 5(5x10)23gr</t>
  </si>
  <si>
    <t>Pop Ice Sultan Cheesu Red Velvet</t>
  </si>
  <si>
    <t>Pop Ice Sultan Matcha Caramel Latte</t>
  </si>
  <si>
    <t>RIMULA LIGHT DUTY LD4 EXTRA 15W-40 (3X5L)</t>
  </si>
  <si>
    <t>HELIX HX6 10W-40 (12X1L)</t>
  </si>
  <si>
    <t>HELIX HX5 15W-40 (12X1L)</t>
  </si>
  <si>
    <t>Teh Sisri Melati Alufoil 6(12x10)8gr</t>
  </si>
  <si>
    <t>Pop Ice Active Tornado Squash</t>
  </si>
  <si>
    <t>Primaline Green Tea Matcha 10 X 800gr</t>
  </si>
  <si>
    <t>Silky Pudding Peach 12X155 gr</t>
  </si>
  <si>
    <t>Silky Pudding Lychee 12X155 gr</t>
  </si>
  <si>
    <t>Primaline Lemonade Tea 12 X 625gr</t>
  </si>
  <si>
    <t>Mentos Roll Mint (11P) 18x14x29g</t>
  </si>
  <si>
    <t>Mentos Bag Assorted 12x150x2.7g</t>
  </si>
  <si>
    <t>HELIX HX7 PLUS 5W-40 (12X1L)</t>
  </si>
  <si>
    <t>HELIX HX7 PLUS 5W-40 (4X4L)</t>
  </si>
  <si>
    <t>SPIRAX ATF 6 (12X1L)</t>
  </si>
  <si>
    <t>SHELL COOL LL PLUS RTU 30/70 (12X1L)</t>
  </si>
  <si>
    <t>SHELL COOL LL PLUS RTU 30/70 (4X4L)</t>
  </si>
  <si>
    <t>HELIX CITY 0W-20 (4X4L)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</si>
</sst>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_-* #,##0_-;\-* #,##0_-;_-* &quot;-&quot;??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family val="2"/>
    </font>
    <font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1"/>
      <scheme val="minor"/>
    </font>
    <font>
      <u/>
      <sz val="8.8000000000000007"/>
      <color theme="10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3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8" fillId="0" borderId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8" applyNumberFormat="0" applyAlignment="0" applyProtection="0"/>
    <xf numFmtId="0" fontId="22" fillId="9" borderId="9" applyNumberFormat="0" applyAlignment="0" applyProtection="0"/>
    <xf numFmtId="0" fontId="23" fillId="9" borderId="8" applyNumberFormat="0" applyAlignment="0" applyProtection="0"/>
    <xf numFmtId="0" fontId="24" fillId="0" borderId="10" applyNumberFormat="0" applyFill="0" applyAlignment="0" applyProtection="0"/>
    <xf numFmtId="0" fontId="25" fillId="10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11" borderId="12" applyNumberFormat="0" applyFont="0" applyAlignment="0" applyProtection="0"/>
    <xf numFmtId="43" fontId="1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" fillId="0" borderId="0"/>
    <xf numFmtId="0" fontId="30" fillId="0" borderId="0"/>
    <xf numFmtId="0" fontId="14" fillId="0" borderId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25" borderId="0" applyNumberFormat="0" applyBorder="0" applyAlignment="0" applyProtection="0"/>
    <xf numFmtId="0" fontId="14" fillId="33" borderId="0" applyNumberFormat="0" applyBorder="0" applyAlignment="0" applyProtection="0"/>
    <xf numFmtId="0" fontId="14" fillId="0" borderId="0"/>
    <xf numFmtId="0" fontId="14" fillId="18" borderId="0" applyNumberFormat="0" applyBorder="0" applyAlignment="0" applyProtection="0"/>
    <xf numFmtId="0" fontId="14" fillId="0" borderId="0"/>
    <xf numFmtId="0" fontId="33" fillId="7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4" fillId="29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14" fillId="30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14" fillId="22" borderId="0" applyNumberFormat="0" applyBorder="0" applyAlignment="0" applyProtection="0"/>
    <xf numFmtId="43" fontId="1" fillId="0" borderId="0" applyFont="0" applyFill="0" applyBorder="0" applyAlignment="0" applyProtection="0"/>
    <xf numFmtId="0" fontId="14" fillId="17" borderId="0" applyNumberFormat="0" applyBorder="0" applyAlignment="0" applyProtection="0"/>
    <xf numFmtId="0" fontId="14" fillId="26" borderId="0" applyNumberFormat="0" applyBorder="0" applyAlignment="0" applyProtection="0"/>
    <xf numFmtId="0" fontId="14" fillId="14" borderId="0" applyNumberFormat="0" applyBorder="0" applyAlignment="0" applyProtection="0"/>
    <xf numFmtId="0" fontId="14" fillId="34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35" borderId="0" applyNumberFormat="0" applyBorder="0" applyAlignment="0" applyProtection="0"/>
    <xf numFmtId="0" fontId="35" fillId="12" borderId="0" applyNumberFormat="0" applyBorder="0" applyAlignment="0" applyProtection="0"/>
    <xf numFmtId="0" fontId="35" fillId="16" borderId="0" applyNumberFormat="0" applyBorder="0" applyAlignment="0" applyProtection="0"/>
    <xf numFmtId="0" fontId="35" fillId="20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36" fillId="6" borderId="0" applyNumberFormat="0" applyBorder="0" applyAlignment="0" applyProtection="0"/>
    <xf numFmtId="0" fontId="37" fillId="9" borderId="8" applyNumberFormat="0" applyAlignment="0" applyProtection="0"/>
    <xf numFmtId="0" fontId="38" fillId="10" borderId="11" applyNumberFormat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5" borderId="0" applyNumberFormat="0" applyBorder="0" applyAlignment="0" applyProtection="0"/>
    <xf numFmtId="0" fontId="41" fillId="0" borderId="5" applyNumberFormat="0" applyFill="0" applyAlignment="0" applyProtection="0"/>
    <xf numFmtId="0" fontId="42" fillId="0" borderId="6" applyNumberFormat="0" applyFill="0" applyAlignment="0" applyProtection="0"/>
    <xf numFmtId="0" fontId="43" fillId="0" borderId="7" applyNumberFormat="0" applyFill="0" applyAlignment="0" applyProtection="0"/>
    <xf numFmtId="0" fontId="43" fillId="0" borderId="0" applyNumberFormat="0" applyFill="0" applyBorder="0" applyAlignment="0" applyProtection="0"/>
    <xf numFmtId="0" fontId="44" fillId="8" borderId="8" applyNumberFormat="0" applyAlignment="0" applyProtection="0"/>
    <xf numFmtId="0" fontId="45" fillId="0" borderId="10" applyNumberFormat="0" applyFill="0" applyAlignment="0" applyProtection="0"/>
    <xf numFmtId="0" fontId="46" fillId="7" borderId="0" applyNumberFormat="0" applyBorder="0" applyAlignment="0" applyProtection="0"/>
    <xf numFmtId="43" fontId="1" fillId="0" borderId="0" applyFont="0" applyFill="0" applyBorder="0" applyAlignment="0" applyProtection="0"/>
    <xf numFmtId="0" fontId="14" fillId="11" borderId="12" applyNumberFormat="0" applyFont="0" applyAlignment="0" applyProtection="0"/>
    <xf numFmtId="0" fontId="47" fillId="9" borderId="9" applyNumberFormat="0" applyAlignment="0" applyProtection="0"/>
    <xf numFmtId="0" fontId="49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3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41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quotePrefix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49" fontId="7" fillId="0" borderId="2" xfId="1" applyNumberFormat="1" applyFont="1" applyFill="1" applyBorder="1"/>
    <xf numFmtId="0" fontId="8" fillId="0" borderId="0" xfId="2" quotePrefix="1"/>
    <xf numFmtId="0" fontId="9" fillId="0" borderId="0" xfId="2" applyFont="1" applyAlignment="1">
      <alignment horizontal="left"/>
    </xf>
    <xf numFmtId="0" fontId="9" fillId="0" borderId="0" xfId="3" applyFont="1" applyAlignment="1">
      <alignment horizontal="left"/>
    </xf>
    <xf numFmtId="0" fontId="8" fillId="0" borderId="0" xfId="2" quotePrefix="1" applyAlignment="1">
      <alignment horizontal="center" wrapText="1"/>
    </xf>
    <xf numFmtId="0" fontId="9" fillId="0" borderId="4" xfId="3" applyFont="1" applyBorder="1" applyAlignment="1">
      <alignment horizontal="left"/>
    </xf>
    <xf numFmtId="0" fontId="8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wrapText="1"/>
    </xf>
    <xf numFmtId="0" fontId="9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9" fillId="3" borderId="0" xfId="3" applyFont="1" applyFill="1" applyAlignment="1">
      <alignment horizontal="left"/>
    </xf>
    <xf numFmtId="0" fontId="9" fillId="4" borderId="0" xfId="3" applyFont="1" applyFill="1" applyAlignment="1">
      <alignment horizontal="left"/>
    </xf>
    <xf numFmtId="0" fontId="0" fillId="3" borderId="0" xfId="0" applyFill="1"/>
    <xf numFmtId="0" fontId="8" fillId="3" borderId="0" xfId="3" applyFill="1"/>
    <xf numFmtId="0" fontId="0" fillId="0" borderId="4" xfId="0" applyBorder="1"/>
    <xf numFmtId="49" fontId="13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1" applyNumberFormat="1" applyFont="1" applyFill="1" applyBorder="1"/>
    <xf numFmtId="0" fontId="0" fillId="0" borderId="0" xfId="0" applyNumberFormat="1"/>
    <xf numFmtId="49" fontId="6" fillId="0" borderId="0" xfId="0" applyNumberFormat="1" applyFont="1" applyFill="1" applyBorder="1"/>
    <xf numFmtId="0" fontId="6" fillId="0" borderId="2" xfId="0" applyFont="1" applyFill="1" applyBorder="1"/>
    <xf numFmtId="49" fontId="6" fillId="0" borderId="2" xfId="0" applyNumberFormat="1" applyFont="1" applyFill="1" applyBorder="1"/>
    <xf numFmtId="0" fontId="0" fillId="0" borderId="0" xfId="0" applyFill="1"/>
    <xf numFmtId="0" fontId="4" fillId="0" borderId="0" xfId="0" applyFont="1" applyFill="1"/>
    <xf numFmtId="0" fontId="0" fillId="0" borderId="0" xfId="0" applyFill="1" applyAlignment="1">
      <alignment horizontal="center"/>
    </xf>
    <xf numFmtId="0" fontId="5" fillId="0" borderId="2" xfId="0" applyFont="1" applyFill="1" applyBorder="1"/>
    <xf numFmtId="0" fontId="5" fillId="0" borderId="3" xfId="0" applyFont="1" applyFill="1" applyBorder="1"/>
    <xf numFmtId="49" fontId="6" fillId="0" borderId="1" xfId="0" applyNumberFormat="1" applyFont="1" applyFill="1" applyBorder="1"/>
    <xf numFmtId="49" fontId="6" fillId="0" borderId="3" xfId="0" applyNumberFormat="1" applyFont="1" applyFill="1" applyBorder="1"/>
    <xf numFmtId="49" fontId="0" fillId="0" borderId="0" xfId="0" applyNumberFormat="1" applyFill="1"/>
    <xf numFmtId="49" fontId="5" fillId="0" borderId="1" xfId="0" applyNumberFormat="1" applyFont="1" applyFill="1" applyBorder="1"/>
    <xf numFmtId="49" fontId="4" fillId="0" borderId="0" xfId="0" applyNumberFormat="1" applyFont="1" applyFill="1"/>
    <xf numFmtId="14" fontId="28" fillId="0" borderId="0" xfId="0" applyNumberFormat="1" applyFont="1"/>
    <xf numFmtId="0" fontId="28" fillId="0" borderId="0" xfId="0" applyFont="1"/>
    <xf numFmtId="0" fontId="28" fillId="0" borderId="0" xfId="0" quotePrefix="1" applyFont="1"/>
    <xf numFmtId="0" fontId="0" fillId="0" borderId="0" xfId="0" quotePrefix="1" applyFill="1"/>
    <xf numFmtId="0" fontId="4" fillId="0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2" fillId="2" borderId="0" xfId="2" quotePrefix="1" applyFont="1" applyFill="1" applyAlignment="1">
      <alignment horizontal="center" wrapText="1"/>
    </xf>
    <xf numFmtId="0" fontId="8" fillId="2" borderId="0" xfId="2" quotePrefix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9" fillId="2" borderId="0" xfId="3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43" fontId="0" fillId="0" borderId="0" xfId="462" applyFont="1"/>
    <xf numFmtId="165" fontId="0" fillId="0" borderId="0" xfId="462" applyNumberFormat="1" applyFont="1"/>
  </cellXfs>
  <cellStyles count="463">
    <cellStyle name="20% - Accent1" xfId="20" builtinId="30" customBuiltin="1"/>
    <cellStyle name="20% - Accent1 2" xfId="58" xr:uid="{9057A7E5-4018-4C92-85B4-50700D5E3BE7}"/>
    <cellStyle name="20% - Accent2" xfId="23" builtinId="34" customBuiltin="1"/>
    <cellStyle name="20% - Accent2 2" xfId="68" xr:uid="{0A6740F4-8DC3-41E3-8AC8-AB3DF300EBFD}"/>
    <cellStyle name="20% - Accent3" xfId="26" builtinId="38" customBuiltin="1"/>
    <cellStyle name="20% - Accent3 2" xfId="57" xr:uid="{19775CA6-6CB6-4252-9489-B90E306FB404}"/>
    <cellStyle name="20% - Accent4" xfId="29" builtinId="42" customBuiltin="1"/>
    <cellStyle name="20% - Accent4 2" xfId="49" xr:uid="{1743D0BC-3436-4831-9C1B-46FC8F5C9EA0}"/>
    <cellStyle name="20% - Accent5" xfId="32" builtinId="46" customBuiltin="1"/>
    <cellStyle name="20% - Accent5 2" xfId="56" xr:uid="{5F2B027C-22C1-4474-828C-20C8A78974C1}"/>
    <cellStyle name="20% - Accent6" xfId="35" builtinId="50" customBuiltin="1"/>
    <cellStyle name="20% - Accent6 2" xfId="50" xr:uid="{6606D32B-4D7D-4230-92B9-DB3209A67D50}"/>
    <cellStyle name="40% - Accent1" xfId="21" builtinId="31" customBuiltin="1"/>
    <cellStyle name="40% - Accent1 2" xfId="70" xr:uid="{5338ADD6-2A62-4C3A-AFC8-C18932DAF3CF}"/>
    <cellStyle name="40% - Accent2" xfId="24" builtinId="35" customBuiltin="1"/>
    <cellStyle name="40% - Accent2 2" xfId="52" xr:uid="{28ECEEAB-E876-450D-922C-9A7521330CA8}"/>
    <cellStyle name="40% - Accent3" xfId="27" builtinId="39" customBuiltin="1"/>
    <cellStyle name="40% - Accent3 2" xfId="66" xr:uid="{B4753BFC-F1FF-465D-9988-E51FEF18CEE4}"/>
    <cellStyle name="40% - Accent4" xfId="30" builtinId="43" customBuiltin="1"/>
    <cellStyle name="40% - Accent4 2" xfId="69" xr:uid="{1CDF0A3E-0782-425E-9F5B-6FB0ADCA74CF}"/>
    <cellStyle name="40% - Accent5" xfId="33" builtinId="47" customBuiltin="1"/>
    <cellStyle name="40% - Accent5 2" xfId="59" xr:uid="{A516D9CA-7DD9-4692-BCF1-F127ECEFF317}"/>
    <cellStyle name="40% - Accent6" xfId="36" builtinId="51" customBuiltin="1"/>
    <cellStyle name="40% - Accent6 2" xfId="71" xr:uid="{233B1CD8-A89A-4864-A0CB-2F8FBF6829C4}"/>
    <cellStyle name="60% - Accent1 2" xfId="60" xr:uid="{BD741776-EE33-4419-9878-476EB78BBA21}"/>
    <cellStyle name="60% - Accent1 3" xfId="72" xr:uid="{ACCD70ED-EF0C-4117-95DD-2A19D33F3F34}"/>
    <cellStyle name="60% - Accent2 2" xfId="61" xr:uid="{977F0FC9-28D2-48F9-8DD4-3BF988CB7D1A}"/>
    <cellStyle name="60% - Accent2 3" xfId="73" xr:uid="{1758F032-F5BB-4DAE-BC45-EFD0F48BB6C8}"/>
    <cellStyle name="60% - Accent3 2" xfId="62" xr:uid="{2B3E6C62-6842-4DC7-B6C2-5E58F0483DE7}"/>
    <cellStyle name="60% - Accent3 3" xfId="74" xr:uid="{A433087D-D4A5-412B-8600-5B3DD3904E12}"/>
    <cellStyle name="60% - Accent4 2" xfId="63" xr:uid="{06FBD441-8DA3-4294-A128-91DEF2E5F4A9}"/>
    <cellStyle name="60% - Accent4 3" xfId="75" xr:uid="{75E11340-074F-47D1-A546-AABC070BC0BB}"/>
    <cellStyle name="60% - Accent5 2" xfId="64" xr:uid="{C188A9C5-A590-4A66-98F2-7D059C85C881}"/>
    <cellStyle name="60% - Accent5 3" xfId="76" xr:uid="{F4F35F7C-ED84-4D28-B399-E17B5C3A3E4D}"/>
    <cellStyle name="60% - Accent6 2" xfId="65" xr:uid="{BB1F2BC2-8ECA-4407-9548-4B7D98B5B342}"/>
    <cellStyle name="60% - Accent6 3" xfId="77" xr:uid="{5C102EF0-7937-4D5D-BFF5-8B3F56436250}"/>
    <cellStyle name="Accent1" xfId="19" builtinId="29" customBuiltin="1"/>
    <cellStyle name="Accent1 2" xfId="78" xr:uid="{AFD1CE8B-FBD0-471B-ABDA-230B067C3D11}"/>
    <cellStyle name="Accent2" xfId="22" builtinId="33" customBuiltin="1"/>
    <cellStyle name="Accent2 2" xfId="79" xr:uid="{927BAA93-124F-46B8-94D5-17429BC2D1CC}"/>
    <cellStyle name="Accent3" xfId="25" builtinId="37" customBuiltin="1"/>
    <cellStyle name="Accent3 2" xfId="80" xr:uid="{57C7B19B-B4BA-4A3A-80FB-FF7FD20DEC34}"/>
    <cellStyle name="Accent4" xfId="28" builtinId="41" customBuiltin="1"/>
    <cellStyle name="Accent4 2" xfId="81" xr:uid="{4C317BD1-1085-4A4C-8175-9AF0702F73E3}"/>
    <cellStyle name="Accent5" xfId="31" builtinId="45" customBuiltin="1"/>
    <cellStyle name="Accent5 2" xfId="82" xr:uid="{B5497B34-838F-4D9A-AC11-511C7DC0559A}"/>
    <cellStyle name="Accent6" xfId="34" builtinId="49" customBuiltin="1"/>
    <cellStyle name="Accent6 2" xfId="83" xr:uid="{D51145AB-DE8E-4518-983D-8E6C62A77112}"/>
    <cellStyle name="Bad" xfId="10" builtinId="27" customBuiltin="1"/>
    <cellStyle name="Bad 2" xfId="84" xr:uid="{AAAD1FFF-805E-425F-94AD-4E70E790FBC6}"/>
    <cellStyle name="Calculation" xfId="13" builtinId="22" customBuiltin="1"/>
    <cellStyle name="Calculation 2" xfId="85" xr:uid="{4AE866AC-53E7-44C7-A197-3E02A0942DD6}"/>
    <cellStyle name="Check Cell" xfId="15" builtinId="23" customBuiltin="1"/>
    <cellStyle name="Check Cell 2" xfId="86" xr:uid="{B13EF9F0-F3DD-49C1-9513-B98AEFB61DD2}"/>
    <cellStyle name="Comma" xfId="462" builtinId="3"/>
    <cellStyle name="Comma [0] 2" xfId="43" xr:uid="{69B90892-B6E2-44AC-A59C-9217E39E87EF}"/>
    <cellStyle name="Comma [0] 2 2" xfId="105" xr:uid="{D4D623FE-35C4-4DEC-92AC-37E9CEF28A11}"/>
    <cellStyle name="Comma [0] 2 2 2" xfId="187" xr:uid="{1D6111D5-4639-44BC-8C25-0737D36BC9E3}"/>
    <cellStyle name="Comma [0] 3" xfId="48" xr:uid="{89D394A0-469C-4B44-BBD2-8C033056E04D}"/>
    <cellStyle name="Comma [0] 4" xfId="88" xr:uid="{88E0F23F-C9EE-4B86-BF82-02FB33321E4F}"/>
    <cellStyle name="Comma [0] 4 2" xfId="188" xr:uid="{E6803FEC-B5E2-4F34-988D-95158DDE2F36}"/>
    <cellStyle name="Comma [0] 4 3" xfId="116" xr:uid="{6A4DDC2F-D6DA-4C93-B295-A6BFD1630FE6}"/>
    <cellStyle name="Comma [0] 4 4" xfId="191" xr:uid="{43B33877-C20F-4021-881D-932C3D5C9ABA}"/>
    <cellStyle name="Comma [0] 5" xfId="189" xr:uid="{9900EF8A-6727-4FCD-981C-0EB6A9AE5612}"/>
    <cellStyle name="Comma [0] 6" xfId="196" xr:uid="{93241C25-4AE4-4518-9AE2-787F009EA282}"/>
    <cellStyle name="Comma [0] 7" xfId="200" xr:uid="{4E1A5D62-B8DC-49E2-B0C8-5C1BF6F3BAF2}"/>
    <cellStyle name="Comma [0] 8" xfId="39" xr:uid="{331C9CDF-C5E5-4753-BAF1-790AC6E2362A}"/>
    <cellStyle name="Comma 10" xfId="38" xr:uid="{AB363FD1-E325-41D6-90AB-486730FEB862}"/>
    <cellStyle name="Comma 11" xfId="41" xr:uid="{3E2C55F3-9298-45FE-88C9-04B6425B8FA6}"/>
    <cellStyle name="Comma 12" xfId="461" xr:uid="{AFEBF296-B5F2-4250-9622-8AA16645D770}"/>
    <cellStyle name="Comma 2" xfId="47" xr:uid="{0DF8EDE0-C308-4613-AFE3-8A95182F7B35}"/>
    <cellStyle name="Comma 2 2" xfId="190" xr:uid="{934A0C13-7BB1-4E31-97AB-42FC72EAA96A}"/>
    <cellStyle name="Comma 2 3" xfId="117" xr:uid="{B794C8F0-612A-4941-9BC3-78063BB234FD}"/>
    <cellStyle name="Comma 3" xfId="67" xr:uid="{F3E4011D-EA0E-44F5-9ABE-BFA2C648BA13}"/>
    <cellStyle name="Comma 3 2" xfId="106" xr:uid="{56411FEF-7BEF-4FD1-A0E1-660F1631AC1A}"/>
    <cellStyle name="Comma 3 3" xfId="185" xr:uid="{B36B5F4A-0650-4923-9CAB-2B67B4926BBB}"/>
    <cellStyle name="Comma 4" xfId="87" xr:uid="{ADDC5759-49E7-416E-904E-B6314FE21B1F}"/>
    <cellStyle name="Comma 4 2" xfId="107" xr:uid="{448A5351-4C3C-4093-9292-A86AE3939150}"/>
    <cellStyle name="Comma 4 3" xfId="186" xr:uid="{3C220645-FA71-49D0-91F5-4D58BA573AD7}"/>
    <cellStyle name="Comma 5" xfId="98" xr:uid="{8E0A1932-4A1A-40D5-9660-04907C77C11D}"/>
    <cellStyle name="Comma 5 2" xfId="193" xr:uid="{38D33F05-D09C-4D16-8205-9AFCEDB4785A}"/>
    <cellStyle name="Comma 6" xfId="104" xr:uid="{28AA5D21-4FC9-4265-A33D-AFCC5FB4E552}"/>
    <cellStyle name="Comma 7" xfId="194" xr:uid="{C5214788-E171-48CB-93C8-FCFD06597F88}"/>
    <cellStyle name="Comma 8" xfId="198" xr:uid="{BA34DAE8-5FF5-4A61-B365-E90250949642}"/>
    <cellStyle name="Comma 9" xfId="195" xr:uid="{FBDA9503-95D9-4264-8A2F-FA53B4AAA4F5}"/>
    <cellStyle name="Explanatory Text" xfId="17" builtinId="53" customBuiltin="1"/>
    <cellStyle name="Explanatory Text 2" xfId="89" xr:uid="{E0CD9323-E7FE-40B4-B7A8-4E164A9D3C73}"/>
    <cellStyle name="Good" xfId="9" builtinId="26" customBuiltin="1"/>
    <cellStyle name="Good 2" xfId="90" xr:uid="{3C0D3E75-4915-4207-BC08-9CC85D064A60}"/>
    <cellStyle name="Heading 1" xfId="5" builtinId="16" customBuiltin="1"/>
    <cellStyle name="Heading 1 2" xfId="91" xr:uid="{7D590F58-1082-4435-8444-0AFFD5CF33EB}"/>
    <cellStyle name="Heading 2" xfId="6" builtinId="17" customBuiltin="1"/>
    <cellStyle name="Heading 2 2" xfId="92" xr:uid="{864CD1B7-A071-4908-BF10-07C84B98E89C}"/>
    <cellStyle name="Heading 3" xfId="7" builtinId="18" customBuiltin="1"/>
    <cellStyle name="Heading 3 2" xfId="93" xr:uid="{A0B41784-A8AC-4D87-928F-2CA78AFE2A90}"/>
    <cellStyle name="Heading 4" xfId="8" builtinId="19" customBuiltin="1"/>
    <cellStyle name="Heading 4 2" xfId="94" xr:uid="{17451DFE-40D7-4080-802E-9CC7A0FE40F0}"/>
    <cellStyle name="Hyperlink" xfId="1" builtinId="8"/>
    <cellStyle name="Hyperlink 2" xfId="55" xr:uid="{46EC078B-FA11-46D6-89BB-7CF8A3D95457}"/>
    <cellStyle name="Input" xfId="11" builtinId="20" customBuiltin="1"/>
    <cellStyle name="Input 2" xfId="95" xr:uid="{348970F5-EEBA-4389-8E1A-40E85F9C275A}"/>
    <cellStyle name="Linked Cell" xfId="14" builtinId="24" customBuiltin="1"/>
    <cellStyle name="Linked Cell 2" xfId="96" xr:uid="{259115DB-5FFD-4F63-87F1-089B83C189F0}"/>
    <cellStyle name="Neutral 2" xfId="54" xr:uid="{5436B1B0-C01C-45BA-86D5-02698836EAEF}"/>
    <cellStyle name="Neutral 3" xfId="97" xr:uid="{B6D9C14F-9FFB-4B95-A226-F3FB8D48C57F}"/>
    <cellStyle name="Normal" xfId="0" builtinId="0"/>
    <cellStyle name="Normal 10" xfId="108" xr:uid="{50C820B7-7317-4F3D-9D6B-7E25742B6ED2}"/>
    <cellStyle name="Normal 10 2" xfId="201" xr:uid="{576C4744-582A-4747-9398-85376DD6736D}"/>
    <cellStyle name="Normal 10 2 2" xfId="202" xr:uid="{39C4E747-4BE2-43A2-A230-1472AF6FF3C2}"/>
    <cellStyle name="Normal 100" xfId="302" xr:uid="{9948260A-D3D3-4A0F-82F5-F39D72F7426D}"/>
    <cellStyle name="Normal 101" xfId="303" xr:uid="{FA939136-5637-4F01-A4DC-43B36D667289}"/>
    <cellStyle name="Normal 102" xfId="304" xr:uid="{98BBA09E-0AA0-491A-88B7-DD647E814483}"/>
    <cellStyle name="Normal 103" xfId="305" xr:uid="{CE0CA399-2B62-40BE-92DD-688FBA00F50F}"/>
    <cellStyle name="Normal 104" xfId="306" xr:uid="{C4775685-8B58-40B4-853C-7E89975B5C37}"/>
    <cellStyle name="Normal 105" xfId="307" xr:uid="{45674FBD-CDCC-4D14-B4A1-593055F20AA0}"/>
    <cellStyle name="Normal 106" xfId="308" xr:uid="{97CE5CE7-280D-4BB3-9378-0CBB9B11CC5D}"/>
    <cellStyle name="Normal 107" xfId="309" xr:uid="{F60CAAAA-D1AD-4F10-B04D-155AE7D9FB92}"/>
    <cellStyle name="Normal 108" xfId="310" xr:uid="{0D587A2E-57DE-4C00-8FB5-27A66639F2EB}"/>
    <cellStyle name="Normal 109" xfId="311" xr:uid="{167C9B7D-D7BE-4C17-BBCD-E1F3BCDBED3C}"/>
    <cellStyle name="Normal 11" xfId="109" xr:uid="{FAC108EC-8B98-4838-B8AE-CFC75EE58CA9}"/>
    <cellStyle name="Normal 110" xfId="312" xr:uid="{7C0C07C6-30BC-4051-82DE-CC19F286AAA6}"/>
    <cellStyle name="Normal 111" xfId="313" xr:uid="{935F5C35-61F7-4209-83FB-73EDD1DC20AC}"/>
    <cellStyle name="Normal 112" xfId="314" xr:uid="{B2D11E13-1493-4FCF-AB9F-6C882CBEF538}"/>
    <cellStyle name="Normal 112 2" xfId="318" xr:uid="{364E4782-8D44-459F-A369-CEC789D6B0EE}"/>
    <cellStyle name="Normal 113" xfId="315" xr:uid="{F1E59C87-02C0-450C-9DFE-9C6A55706122}"/>
    <cellStyle name="Normal 113 2" xfId="319" xr:uid="{35388AF7-6BDF-4B0D-898B-7E621CC07C73}"/>
    <cellStyle name="Normal 114" xfId="316" xr:uid="{CA9C6F5B-C01F-48B5-AF43-C3192EDB69A8}"/>
    <cellStyle name="Normal 114 2" xfId="320" xr:uid="{85D3B12E-A992-408B-9F66-944F8D1B5985}"/>
    <cellStyle name="Normal 115" xfId="317" xr:uid="{F623EB05-03D4-42B3-8D37-1D83D193DD11}"/>
    <cellStyle name="Normal 116" xfId="321" xr:uid="{5A818E35-0858-4BBC-BDCC-EA0DD768A2EF}"/>
    <cellStyle name="Normal 117" xfId="322" xr:uid="{9E878AE3-366E-4B40-9444-51FD0138147E}"/>
    <cellStyle name="Normal 118" xfId="323" xr:uid="{D1C96BC5-889B-4983-B80A-7A9C0E065BD7}"/>
    <cellStyle name="Normal 119" xfId="324" xr:uid="{26D4DA07-F3C8-4931-9D75-4BF03A6FDE58}"/>
    <cellStyle name="Normal 12" xfId="110" xr:uid="{FD3A816E-6F06-4570-B743-550B4DA32889}"/>
    <cellStyle name="Normal 120" xfId="325" xr:uid="{A56C3B14-340F-4CE5-AF9A-81EC50AF90C4}"/>
    <cellStyle name="Normal 121" xfId="326" xr:uid="{F46B9E31-08AA-409C-BC58-94E4643B4BD6}"/>
    <cellStyle name="Normal 122" xfId="327" xr:uid="{0C9CF89F-C7BD-488B-9880-A92853AD7D73}"/>
    <cellStyle name="Normal 123" xfId="328" xr:uid="{FC07DEAF-720A-4A24-B3FF-B78A5EF1814F}"/>
    <cellStyle name="Normal 124" xfId="329" xr:uid="{42B162B0-57D8-4A38-9D7F-14B81295F767}"/>
    <cellStyle name="Normal 125" xfId="330" xr:uid="{4F9F916F-E370-4B90-86A9-54BCEFC65294}"/>
    <cellStyle name="Normal 126" xfId="331" xr:uid="{9F40BB96-42AD-48AF-AC66-BDBCB8F14D9A}"/>
    <cellStyle name="Normal 127" xfId="332" xr:uid="{660015CF-75C2-4A8C-8EC1-EE41D8F12A6F}"/>
    <cellStyle name="Normal 128" xfId="333" xr:uid="{2F59F9CA-8603-4820-A302-0B248483B2A4}"/>
    <cellStyle name="Normal 129" xfId="334" xr:uid="{2B7B2C53-9369-4D90-B965-73999A7E8B84}"/>
    <cellStyle name="Normal 13" xfId="184" xr:uid="{DF351E16-7646-4AE3-A71B-FFF94B7926DE}"/>
    <cellStyle name="Normal 13 2" xfId="203" xr:uid="{B32CA1E0-EBC7-455F-8BFC-470E67A0A085}"/>
    <cellStyle name="Normal 130" xfId="335" xr:uid="{2A2E9263-6B10-46C3-8635-9C52E3C1D03C}"/>
    <cellStyle name="Normal 131" xfId="336" xr:uid="{AEEA54FE-1175-43F3-A04F-BCEB46671EF5}"/>
    <cellStyle name="Normal 132" xfId="337" xr:uid="{4A1FFD3E-5F6C-4918-BE9C-3F4CB95BE470}"/>
    <cellStyle name="Normal 133" xfId="338" xr:uid="{473F6D4A-313B-44D3-B84D-4F0D16894FB3}"/>
    <cellStyle name="Normal 134" xfId="339" xr:uid="{A87CDA79-27D4-401E-A5B3-29313287B754}"/>
    <cellStyle name="Normal 135" xfId="340" xr:uid="{BE733E1E-D03F-4674-9327-AC1E1E3D1841}"/>
    <cellStyle name="Normal 136" xfId="341" xr:uid="{B1ED6738-99BF-49DC-A89A-98684DDCCF7E}"/>
    <cellStyle name="Normal 137" xfId="342" xr:uid="{A1A04A00-7DF1-4D56-8D35-16026E8E4F1D}"/>
    <cellStyle name="Normal 137 2" xfId="349" xr:uid="{9F125C82-ABC3-494D-89AA-A4CB864477C9}"/>
    <cellStyle name="Normal 138" xfId="343" xr:uid="{78B8E00F-0013-41D6-AA5C-1769EE8887D8}"/>
    <cellStyle name="Normal 138 2" xfId="350" xr:uid="{2D423A07-BA67-40B7-AE99-E1079AADEEDA}"/>
    <cellStyle name="Normal 139" xfId="344" xr:uid="{4B04F552-B465-428A-887A-8A7374435BF6}"/>
    <cellStyle name="Normal 139 2" xfId="351" xr:uid="{DDD48E4F-E316-44DB-903B-7BF26EEB5C8B}"/>
    <cellStyle name="Normal 14" xfId="111" xr:uid="{3B97E2F5-B0E0-4073-97B3-E05E6415B9B3}"/>
    <cellStyle name="Normal 140" xfId="345" xr:uid="{0BE62D81-BB37-461A-8CE6-08DF360079DC}"/>
    <cellStyle name="Normal 140 2" xfId="352" xr:uid="{F1358D62-26DB-42F6-A58F-1AEB2FF200BC}"/>
    <cellStyle name="Normal 141" xfId="346" xr:uid="{63CF0C05-461F-4054-9088-7E038801FA36}"/>
    <cellStyle name="Normal 141 2" xfId="353" xr:uid="{C783E452-1532-41E6-BCD5-5311FFA6DC85}"/>
    <cellStyle name="Normal 142" xfId="347" xr:uid="{7F23D182-27D0-427A-B1F6-DF91920F9592}"/>
    <cellStyle name="Normal 142 2" xfId="354" xr:uid="{8FDC37D6-AF86-47BD-A9B7-638652497F7D}"/>
    <cellStyle name="Normal 143" xfId="348" xr:uid="{516092E0-5D10-4BC4-9498-CAA3F6F20CAF}"/>
    <cellStyle name="Normal 143 2" xfId="355" xr:uid="{8492096A-BA2A-45A2-A85E-A9A8DD995949}"/>
    <cellStyle name="Normal 144" xfId="356" xr:uid="{0EFB1FD4-4EDA-43CB-8EF9-4B44A7598620}"/>
    <cellStyle name="Normal 145" xfId="357" xr:uid="{99DD37B5-9F6E-481B-83C9-C67E239A75CE}"/>
    <cellStyle name="Normal 146" xfId="358" xr:uid="{B5165C1C-3CD5-45DD-AC26-7957363AAAB8}"/>
    <cellStyle name="Normal 147" xfId="359" xr:uid="{7E7C59D0-6BEF-4096-A86A-F853CDD8DA50}"/>
    <cellStyle name="Normal 148" xfId="360" xr:uid="{2619E984-AB59-48F8-8677-5A33B06FFFBE}"/>
    <cellStyle name="Normal 149" xfId="361" xr:uid="{7C4790E2-1575-4ACA-AA00-C3E0E9417770}"/>
    <cellStyle name="Normal 15" xfId="112" xr:uid="{FDA00B5C-C626-4E6C-9A8B-828A8CE33267}"/>
    <cellStyle name="Normal 15 2" xfId="205" xr:uid="{305B9A89-FE97-4B25-847F-8B6A90BDA085}"/>
    <cellStyle name="Normal 15 2 2" xfId="207" xr:uid="{0EC7E646-D3EE-40A4-A2C2-07739DFE9EE9}"/>
    <cellStyle name="Normal 15 2 2 2" xfId="211" xr:uid="{91196758-8AA8-4022-9046-D6C3D782CEE6}"/>
    <cellStyle name="Normal 15 2 2 2 2" xfId="217" xr:uid="{49069F74-A877-41CA-BB86-6085090E4D44}"/>
    <cellStyle name="Normal 15 2 2 2 2 2" xfId="224" xr:uid="{4BE844DF-7D0A-41A3-9C23-EFD79F07BC94}"/>
    <cellStyle name="Normal 150" xfId="362" xr:uid="{A124E718-1BFB-463C-9DBF-4B23EA4B0622}"/>
    <cellStyle name="Normal 151" xfId="363" xr:uid="{A05BAE5D-BC32-4219-A2CC-45C0FA23269E}"/>
    <cellStyle name="Normal 152" xfId="364" xr:uid="{AAA89D72-5EBA-46D0-A06F-39CFC0442F6B}"/>
    <cellStyle name="Normal 153" xfId="365" xr:uid="{D389F6FD-5AF4-42D0-87EE-8D8B5A4CF5BC}"/>
    <cellStyle name="Normal 154" xfId="366" xr:uid="{734EFAC3-533D-403F-AA35-A27A04C08BAA}"/>
    <cellStyle name="Normal 155" xfId="367" xr:uid="{597022FE-8029-4F4E-805F-63C09410165E}"/>
    <cellStyle name="Normal 156" xfId="368" xr:uid="{2E5BFDDF-1413-42C7-9797-75C0F8E9D04D}"/>
    <cellStyle name="Normal 157" xfId="369" xr:uid="{87975163-81DA-4D17-ADAA-0BB6203543BE}"/>
    <cellStyle name="Normal 158" xfId="370" xr:uid="{4F5FC444-0589-4BB6-8B3F-632DC37F1E33}"/>
    <cellStyle name="Normal 159" xfId="371" xr:uid="{D1A2AACE-DAB4-4EF6-B703-9AF08805581D}"/>
    <cellStyle name="Normal 16" xfId="199" xr:uid="{05DC44DD-7975-4557-B90B-CE4C561DFA86}"/>
    <cellStyle name="Normal 16 2" xfId="206" xr:uid="{BDB3AE42-2381-4F8C-B3BE-F022AAD68003}"/>
    <cellStyle name="Normal 16 2 2" xfId="208" xr:uid="{89A89E62-9743-402F-B232-DEC11C0A02BC}"/>
    <cellStyle name="Normal 16 2 2 2" xfId="212" xr:uid="{209FEA33-E340-4197-A806-990B8CC76CA8}"/>
    <cellStyle name="Normal 16 2 2 2 2" xfId="218" xr:uid="{1C0A42CB-AC8F-409E-9AA4-05CF28DC63A4}"/>
    <cellStyle name="Normal 16 2 2 2 2 2" xfId="225" xr:uid="{89F9E4B0-A1C6-440A-83B7-0BB8BD535D26}"/>
    <cellStyle name="Normal 16 3" xfId="204" xr:uid="{492B27B4-6B8A-449C-974F-D8E1BC8AF435}"/>
    <cellStyle name="Normal 160" xfId="372" xr:uid="{18C3649C-7898-4262-BF47-8AE12F7A8737}"/>
    <cellStyle name="Normal 161" xfId="373" xr:uid="{BB60910E-9901-4A9E-B98E-468C2AA80C54}"/>
    <cellStyle name="Normal 162" xfId="374" xr:uid="{DA6D5F7F-2A21-47E9-85D0-224FEDDC7DB3}"/>
    <cellStyle name="Normal 163" xfId="375" xr:uid="{D5C30077-DAC8-4E93-9D76-75AC0C2EB2D4}"/>
    <cellStyle name="Normal 164" xfId="376" xr:uid="{7B16E246-DAB7-406E-ACB2-517C7B0F82E7}"/>
    <cellStyle name="Normal 165" xfId="377" xr:uid="{3FED707F-0B14-4717-92A5-842B85AAE0C3}"/>
    <cellStyle name="Normal 166" xfId="378" xr:uid="{481B4A61-04BF-485F-AD12-E6CBC14EB801}"/>
    <cellStyle name="Normal 167" xfId="379" xr:uid="{3F5F936F-2D49-4321-8F00-7756C139CC24}"/>
    <cellStyle name="Normal 168" xfId="380" xr:uid="{744D8858-5966-4AC3-BBD8-5B0C7EF68798}"/>
    <cellStyle name="Normal 169" xfId="381" xr:uid="{CDE93A15-134D-4805-94B0-B050CF15C6C3}"/>
    <cellStyle name="Normal 17" xfId="113" xr:uid="{93175F36-381E-4094-B948-31C213B28F3A}"/>
    <cellStyle name="Normal 17 2" xfId="209" xr:uid="{F47964B8-A02D-4834-87DA-100749CCDFFB}"/>
    <cellStyle name="Normal 17 2 2" xfId="213" xr:uid="{0B9C01AE-741D-4F40-9835-E60E25E94FFA}"/>
    <cellStyle name="Normal 17 2 2 2" xfId="219" xr:uid="{0FFD6E65-1ED1-4EDE-992B-7B117DCD0F30}"/>
    <cellStyle name="Normal 17 2 2 2 2" xfId="226" xr:uid="{97045E8B-37CA-4ED9-AAB7-7AADFE555CE5}"/>
    <cellStyle name="Normal 170" xfId="382" xr:uid="{C151D3FB-BAB6-45BE-91C1-A9882282470A}"/>
    <cellStyle name="Normal 171" xfId="383" xr:uid="{E283977F-4988-4DE9-8B56-B807EAC80699}"/>
    <cellStyle name="Normal 172" xfId="384" xr:uid="{856EF5B9-779B-40C7-9E39-7D651BD5C1DA}"/>
    <cellStyle name="Normal 173" xfId="385" xr:uid="{8E330D33-34B1-4E87-9CA5-308951CBEF28}"/>
    <cellStyle name="Normal 174" xfId="386" xr:uid="{9196516D-6F19-4D18-A91A-FA0B684FE610}"/>
    <cellStyle name="Normal 175" xfId="387" xr:uid="{E9242350-C319-47C9-9381-D132AE7DDF0F}"/>
    <cellStyle name="Normal 176" xfId="388" xr:uid="{3A908F13-B6DF-49FB-90E6-28A0AA7CA0BB}"/>
    <cellStyle name="Normal 177" xfId="389" xr:uid="{C3962778-8090-4B7D-B370-8AB0A184BF06}"/>
    <cellStyle name="Normal 178" xfId="390" xr:uid="{208A9791-5867-4E0D-BA39-CE8E79796295}"/>
    <cellStyle name="Normal 179" xfId="391" xr:uid="{DDF5BD22-3A6D-4F43-A8D4-E54C0D2AA914}"/>
    <cellStyle name="Normal 18" xfId="114" xr:uid="{C76C294F-F46B-4C40-9DCF-3EF1B8A7FC37}"/>
    <cellStyle name="Normal 18 2" xfId="210" xr:uid="{39A1193B-DC66-47C9-A484-6672CB3C2E54}"/>
    <cellStyle name="Normal 18 2 2" xfId="214" xr:uid="{9482C7F0-396C-44A9-B44B-6B51365F4249}"/>
    <cellStyle name="Normal 18 2 2 2" xfId="220" xr:uid="{136835D6-A100-47CE-A65A-934A9445E381}"/>
    <cellStyle name="Normal 18 2 2 2 2" xfId="227" xr:uid="{E94399BB-EA99-42FA-B335-5BA54E53E8F3}"/>
    <cellStyle name="Normal 180" xfId="392" xr:uid="{5B90583E-DE06-4BA9-BC1A-B0B6DED2C461}"/>
    <cellStyle name="Normal 181" xfId="393" xr:uid="{A8779118-2843-4641-A9BF-C4050425397C}"/>
    <cellStyle name="Normal 182" xfId="394" xr:uid="{EDFF56FC-B067-4381-A120-62F8423EEE59}"/>
    <cellStyle name="Normal 183" xfId="395" xr:uid="{3754EE23-A652-49EE-9AE3-E47915BF471C}"/>
    <cellStyle name="Normal 184" xfId="396" xr:uid="{B0F6428A-64AD-4D48-89DC-BDA3D9DC05C8}"/>
    <cellStyle name="Normal 185" xfId="397" xr:uid="{32F3A7F8-286F-48D5-BCBB-CAA11A3A3EC9}"/>
    <cellStyle name="Normal 186" xfId="398" xr:uid="{31F96E50-C5B9-41F1-AF39-B2F5543E6A4C}"/>
    <cellStyle name="Normal 187" xfId="399" xr:uid="{E72F8D86-CF06-44DB-8332-52DD27314770}"/>
    <cellStyle name="Normal 188" xfId="400" xr:uid="{906D96FD-B2ED-4A3E-AEAB-63ABAA26CC49}"/>
    <cellStyle name="Normal 189" xfId="401" xr:uid="{C6F0E068-7F4A-4FE3-8F81-60169DD5F7F8}"/>
    <cellStyle name="Normal 19" xfId="115" xr:uid="{5C699C79-7927-4F1D-B2FC-CE936844F9DB}"/>
    <cellStyle name="Normal 19 2" xfId="215" xr:uid="{B9681BA5-FB53-4D8A-9EF9-8C999359E6DD}"/>
    <cellStyle name="Normal 19 2 2" xfId="221" xr:uid="{36B3BC1B-4012-4672-B6F3-D42545920DFD}"/>
    <cellStyle name="Normal 19 2 2 2" xfId="228" xr:uid="{A4E6E925-5CA0-4419-8D9C-554719429A34}"/>
    <cellStyle name="Normal 190" xfId="402" xr:uid="{036E2127-8FA2-4B3E-8B9F-02A947791968}"/>
    <cellStyle name="Normal 191" xfId="403" xr:uid="{08ADAF38-6E83-4D46-984B-0482508D1825}"/>
    <cellStyle name="Normal 192" xfId="404" xr:uid="{4FD754C1-4B48-40B9-9735-0AB058A41A39}"/>
    <cellStyle name="Normal 193" xfId="405" xr:uid="{8A35E3DD-7F9C-4760-BF01-32FB64CDD11F}"/>
    <cellStyle name="Normal 194" xfId="406" xr:uid="{4F0F3B8A-3005-4A79-AD45-F27AC8AD9810}"/>
    <cellStyle name="Normal 195" xfId="407" xr:uid="{AA818A7B-FC92-4D62-9571-8076FBA91F70}"/>
    <cellStyle name="Normal 196" xfId="408" xr:uid="{8AC3F3D1-965D-4992-B52B-622E3D5B40A5}"/>
    <cellStyle name="Normal 197" xfId="409" xr:uid="{F60F4BEF-039D-4EDD-8C5F-F5C7ED63A925}"/>
    <cellStyle name="Normal 198" xfId="410" xr:uid="{D2FE7259-AB6D-4D52-93B1-4E28B650FCCD}"/>
    <cellStyle name="Normal 199" xfId="411" xr:uid="{A89A9AE3-1280-4504-8635-68197CE246E1}"/>
    <cellStyle name="Normal 2" xfId="3" xr:uid="{A4D5AEF3-633B-438A-894F-63E7ABF2A3B9}"/>
    <cellStyle name="Normal 2 2" xfId="53" xr:uid="{EC3B87D7-F500-4699-BEE7-999D4942D406}"/>
    <cellStyle name="Normal 2 2 2" xfId="45" xr:uid="{FE598D94-8732-45C6-8DAA-826C3FFE8B09}"/>
    <cellStyle name="Normal 2 2 2 2" xfId="118" xr:uid="{BE63AA80-CF27-41C0-ABDD-98C172AC1607}"/>
    <cellStyle name="Normal 2 3" xfId="44" xr:uid="{15E01A6D-AD80-4C41-BDDF-FBAB5220920C}"/>
    <cellStyle name="Normal 2 7" xfId="51" xr:uid="{226ACCAE-48AA-48A8-A744-27FB916846F1}"/>
    <cellStyle name="Normal 20" xfId="119" xr:uid="{D592F00C-0F18-4525-B910-0A372D904451}"/>
    <cellStyle name="Normal 20 2" xfId="216" xr:uid="{FDB12854-153D-46D3-BC06-1F8DF4219C72}"/>
    <cellStyle name="Normal 20 2 2" xfId="222" xr:uid="{47CF9598-7B40-4D51-8593-B44AF8A9B651}"/>
    <cellStyle name="Normal 20 2 2 2" xfId="229" xr:uid="{7686ADD8-75C1-4192-AB2E-CEDFA3919A02}"/>
    <cellStyle name="Normal 200" xfId="412" xr:uid="{1C9E15EC-BF82-4349-8F29-B7B115519CCE}"/>
    <cellStyle name="Normal 201" xfId="413" xr:uid="{20677242-43FF-4705-B16B-815B9C669F10}"/>
    <cellStyle name="Normal 202" xfId="414" xr:uid="{0B3AB6DF-9BBD-4B94-ABC8-6715AF3777A9}"/>
    <cellStyle name="Normal 203" xfId="415" xr:uid="{12E63FCA-66A8-424D-AFDD-6DBAC197219C}"/>
    <cellStyle name="Normal 204" xfId="416" xr:uid="{45523E1D-E15A-440B-810C-0EC739386B91}"/>
    <cellStyle name="Normal 205" xfId="417" xr:uid="{90478D80-93CB-4DB4-B2DC-29D4A39B816F}"/>
    <cellStyle name="Normal 206" xfId="418" xr:uid="{A5F2EB1A-144C-47D5-B25B-084A13D7DB9B}"/>
    <cellStyle name="Normal 207" xfId="419" xr:uid="{C49755D8-65C1-4182-9447-3AE2C8CDD784}"/>
    <cellStyle name="Normal 208" xfId="420" xr:uid="{84F66747-2D22-46CB-92C4-F275821A01E9}"/>
    <cellStyle name="Normal 209" xfId="421" xr:uid="{CFC90E0E-8AC4-41F2-9DFF-990E7D54F19C}"/>
    <cellStyle name="Normal 21" xfId="120" xr:uid="{4D168AD6-32E0-4121-8096-E2AE7232A41E}"/>
    <cellStyle name="Normal 21 2" xfId="223" xr:uid="{897A47B2-0288-454D-B478-32850C5A4C8D}"/>
    <cellStyle name="Normal 21 2 2" xfId="230" xr:uid="{1267F2AB-DE41-46FF-A78D-45D10D661E8E}"/>
    <cellStyle name="Normal 210" xfId="422" xr:uid="{E8813767-2522-4D90-A64F-A3FD472A06E2}"/>
    <cellStyle name="Normal 211" xfId="423" xr:uid="{A32F473D-FDEF-4B27-94BF-52E8B40CE4E2}"/>
    <cellStyle name="Normal 212" xfId="424" xr:uid="{BF061FC0-AFD0-497B-AACB-F6ED18061D1E}"/>
    <cellStyle name="Normal 213" xfId="425" xr:uid="{A1158D27-FB41-42FC-98CF-146D02745111}"/>
    <cellStyle name="Normal 214" xfId="426" xr:uid="{82E54062-A485-4248-967D-0546879FD096}"/>
    <cellStyle name="Normal 215" xfId="427" xr:uid="{4B17987B-F938-4472-A6E9-41A3B57BB014}"/>
    <cellStyle name="Normal 216" xfId="428" xr:uid="{F351DD44-0475-405C-BB0D-78BE7CA456C8}"/>
    <cellStyle name="Normal 217" xfId="429" xr:uid="{DBD7AC18-D292-4BC8-AFC0-090B28FFC386}"/>
    <cellStyle name="Normal 218" xfId="430" xr:uid="{CB6EEA7A-3EA9-4704-908D-ABC20E8678C3}"/>
    <cellStyle name="Normal 219" xfId="431" xr:uid="{C64B3E17-5B7F-46CE-B554-9195797E181D}"/>
    <cellStyle name="Normal 22" xfId="121" xr:uid="{434C0B8C-0DE7-478F-A228-2D5F36B1DD05}"/>
    <cellStyle name="Normal 22 2" xfId="231" xr:uid="{B465B846-132A-4057-AA7D-C6D55904601D}"/>
    <cellStyle name="Normal 220" xfId="432" xr:uid="{A6D60143-DB5B-45BC-A119-7E3FCC3EE755}"/>
    <cellStyle name="Normal 221" xfId="433" xr:uid="{66A91B75-F054-4CBC-B5D0-E128EBCEF5FE}"/>
    <cellStyle name="Normal 222" xfId="434" xr:uid="{6E27354F-3FD1-4942-BC05-922A747C5075}"/>
    <cellStyle name="Normal 223" xfId="435" xr:uid="{0843043B-26D0-49AC-A116-99C3565B1A37}"/>
    <cellStyle name="Normal 224" xfId="436" xr:uid="{0F547D3B-5F15-45C7-93F9-B54047467350}"/>
    <cellStyle name="Normal 225" xfId="437" xr:uid="{9AEEDFB2-49FB-4A4E-88B7-A8F0264B94CD}"/>
    <cellStyle name="Normal 226" xfId="438" xr:uid="{F2442DAB-7FE4-45E0-BEA7-5A4AA7F9D92E}"/>
    <cellStyle name="Normal 227" xfId="439" xr:uid="{2A1461A0-EA27-4C3C-9C25-98BA71EE378C}"/>
    <cellStyle name="Normal 228" xfId="440" xr:uid="{8C624E3C-8963-42DD-AA24-2C1CE1783983}"/>
    <cellStyle name="Normal 229" xfId="441" xr:uid="{AD42AFEF-08C2-40EB-ABAB-4DA456968887}"/>
    <cellStyle name="Normal 23" xfId="122" xr:uid="{C653EA36-7168-4DEF-BF41-9E2E97D9152B}"/>
    <cellStyle name="Normal 230" xfId="442" xr:uid="{7607BBE7-21E1-4EE0-8CE7-C8BBEE6D875B}"/>
    <cellStyle name="Normal 231" xfId="443" xr:uid="{C450998A-33D7-4DA4-B27D-C55A6F21ED4D}"/>
    <cellStyle name="Normal 232" xfId="444" xr:uid="{A9996ACD-2591-4C67-A01E-900E5AB4FACE}"/>
    <cellStyle name="Normal 233" xfId="445" xr:uid="{43C27900-A3CD-446E-AD84-EB597BE7E18A}"/>
    <cellStyle name="Normal 234" xfId="446" xr:uid="{D1214A60-6AAF-4BC4-854D-00B9472586D3}"/>
    <cellStyle name="Normal 235" xfId="447" xr:uid="{59FCC78C-982E-43FE-8262-3DF1458E3620}"/>
    <cellStyle name="Normal 236" xfId="448" xr:uid="{F60B983C-222C-410F-8089-E3F667C63468}"/>
    <cellStyle name="Normal 237" xfId="449" xr:uid="{CFE3B356-2F58-4E36-8EA0-F71D63458244}"/>
    <cellStyle name="Normal 238" xfId="450" xr:uid="{A4A83852-5E4B-4268-AC5B-8FC07437F5AA}"/>
    <cellStyle name="Normal 239" xfId="451" xr:uid="{BD2CDCF9-1D97-45AD-A08F-AB87641646F6}"/>
    <cellStyle name="Normal 24" xfId="123" xr:uid="{BB8E94F2-2BAE-4B8F-A6B8-81396168E4B6}"/>
    <cellStyle name="Normal 240" xfId="452" xr:uid="{6F328C9A-72A7-45B3-A63B-9C3B2EC200ED}"/>
    <cellStyle name="Normal 241" xfId="453" xr:uid="{A961D2C2-2635-4036-B74A-9869175B109D}"/>
    <cellStyle name="Normal 242" xfId="454" xr:uid="{BD2061E5-26AE-4E73-800D-CD217EFEABCE}"/>
    <cellStyle name="Normal 243" xfId="455" xr:uid="{5DAD635E-F2CC-4F1C-943C-844C0087C75E}"/>
    <cellStyle name="Normal 244" xfId="456" xr:uid="{E2504D0D-00AD-4455-8117-A99B380C4E02}"/>
    <cellStyle name="Normal 245" xfId="457" xr:uid="{46E940E9-CDFE-4216-B3F3-E9ECD4DBE800}"/>
    <cellStyle name="Normal 246" xfId="458" xr:uid="{8AB68D62-D6A2-420C-A09C-CA4B1316AD81}"/>
    <cellStyle name="Normal 247" xfId="459" xr:uid="{B3033C49-CF7E-4BE6-9480-025D1A29B13C}"/>
    <cellStyle name="Normal 248" xfId="460" xr:uid="{57AA6C16-5988-431C-8F1A-BA05BB792808}"/>
    <cellStyle name="Normal 249" xfId="37" xr:uid="{65962900-5A38-4B63-B0FB-0F1B5BBD4044}"/>
    <cellStyle name="Normal 25" xfId="124" xr:uid="{06F7C357-7FF0-4614-B1D4-E89A5235ADB5}"/>
    <cellStyle name="Normal 26" xfId="125" xr:uid="{24A0CB84-03A3-44A9-BE50-173AAFA5DDBF}"/>
    <cellStyle name="Normal 27" xfId="126" xr:uid="{A21F16D7-ED01-4608-B91E-0034C3DB1F88}"/>
    <cellStyle name="Normal 28" xfId="127" xr:uid="{EE185FCD-6D0E-4593-8EB1-511918297085}"/>
    <cellStyle name="Normal 29" xfId="128" xr:uid="{E03D7D55-8EF8-4324-BEA2-E8998C90F413}"/>
    <cellStyle name="Normal 29 2" xfId="232" xr:uid="{C1064520-DD8C-41FF-9ACE-CDD6220140ED}"/>
    <cellStyle name="Normal 29 2 2" xfId="235" xr:uid="{0D444234-CE0D-40B3-AF85-38044B967170}"/>
    <cellStyle name="Normal 29 2 2 2" xfId="246" xr:uid="{D9FE47FD-CB46-45F1-B3F3-EEA0D31A96E5}"/>
    <cellStyle name="Normal 3" xfId="2" xr:uid="{D1AA6664-DB78-4ADD-9C14-C5B44B5E79B8}"/>
    <cellStyle name="Normal 3 2" xfId="130" xr:uid="{8D9431B7-0036-4D4C-B939-F25E411DD62A}"/>
    <cellStyle name="Normal 3 3" xfId="192" xr:uid="{4C47C075-B0DB-49A8-B55F-76BF9ED525CC}"/>
    <cellStyle name="Normal 3 4" xfId="46" xr:uid="{2CD7A6E8-0596-4E7D-BDC8-E095C028ADBB}"/>
    <cellStyle name="Normal 30" xfId="131" xr:uid="{AD7112B3-CE69-4B2A-8B2D-522E4FD21144}"/>
    <cellStyle name="Normal 31" xfId="132" xr:uid="{6D82B03E-72DB-4C11-9F57-31EB63596270}"/>
    <cellStyle name="Normal 31 2" xfId="233" xr:uid="{A983121E-4B4E-489A-94F5-3402B3DF0181}"/>
    <cellStyle name="Normal 31 2 2" xfId="236" xr:uid="{A736D23C-9E2A-464E-A6D5-AE6606C42A67}"/>
    <cellStyle name="Normal 31 2 2 2" xfId="247" xr:uid="{E39C8439-7CFE-4E57-B79F-E776FB586E2A}"/>
    <cellStyle name="Normal 32" xfId="133" xr:uid="{4C4075C7-4879-4DEF-9A99-A2AA514774F1}"/>
    <cellStyle name="Normal 33" xfId="134" xr:uid="{311203AC-76B4-4E47-AC14-53D6678C82B0}"/>
    <cellStyle name="Normal 33 2" xfId="237" xr:uid="{4F1A27F5-8776-44A8-96A4-B50CBC9B7CBD}"/>
    <cellStyle name="Normal 33 2 2" xfId="248" xr:uid="{ACDE1851-CC20-45B1-9AAA-4347DE671A58}"/>
    <cellStyle name="Normal 34" xfId="135" xr:uid="{3439F462-D253-44DA-BE81-BA83A6B1F0BF}"/>
    <cellStyle name="Normal 34 2" xfId="238" xr:uid="{68D57847-A632-47BD-BB2F-5FCA6E3005A9}"/>
    <cellStyle name="Normal 34 2 2" xfId="249" xr:uid="{65C0344D-7220-4371-AF2E-3ED959F08D70}"/>
    <cellStyle name="Normal 35" xfId="136" xr:uid="{5C07679E-7FB7-405A-971B-9B7D6FD34FF7}"/>
    <cellStyle name="Normal 35 2" xfId="239" xr:uid="{C74F1B4A-84A7-4E9B-B924-ADD36B579BE5}"/>
    <cellStyle name="Normal 35 2 2" xfId="250" xr:uid="{3E1FA4F0-F49D-476C-A1BD-742CE0BEE7B1}"/>
    <cellStyle name="Normal 36" xfId="137" xr:uid="{B8CFD814-8ED8-4243-8FBB-1E6A76419360}"/>
    <cellStyle name="Normal 36 2" xfId="240" xr:uid="{CE0E614D-ED9F-474C-B29A-E7A338A35279}"/>
    <cellStyle name="Normal 36 2 2" xfId="251" xr:uid="{CD1749FF-A03E-4A33-A268-D9FF38B6839B}"/>
    <cellStyle name="Normal 37" xfId="234" xr:uid="{C832016A-3C80-4A8D-977F-F580FB55D76F}"/>
    <cellStyle name="Normal 37 2" xfId="241" xr:uid="{F4F6B242-6B0E-4C54-AFF7-F9ACEC3A673C}"/>
    <cellStyle name="Normal 37 2 2" xfId="252" xr:uid="{4DC8BE7A-EB56-49DB-8C07-97DF336A4DC2}"/>
    <cellStyle name="Normal 38" xfId="138" xr:uid="{30B62B6A-50C0-4C21-AC6C-F3B7F5AF852B}"/>
    <cellStyle name="Normal 38 2" xfId="242" xr:uid="{66B0FCEF-6610-4E87-B0C6-6E794FB4BA44}"/>
    <cellStyle name="Normal 38 2 2" xfId="253" xr:uid="{9A3430BD-AC7A-4DC0-9CAB-BEFBA55AF116}"/>
    <cellStyle name="Normal 39" xfId="139" xr:uid="{9CF0F5AC-3196-4D5E-9FE4-67A580C756E1}"/>
    <cellStyle name="Normal 39 2" xfId="243" xr:uid="{5A2B32F5-FB8F-4F53-BBEE-4F438DBFC730}"/>
    <cellStyle name="Normal 39 2 2" xfId="254" xr:uid="{082E169C-6AB3-4344-8DCD-7D1B42595AFE}"/>
    <cellStyle name="Normal 4" xfId="42" xr:uid="{6166D979-82AE-47B9-9C0B-1088F65BB434}"/>
    <cellStyle name="Normal 4 2" xfId="140" xr:uid="{C1FE99D3-569F-48A1-AF5F-5853881A30C4}"/>
    <cellStyle name="Normal 40" xfId="141" xr:uid="{E5958BAA-5A5B-4B87-82C9-5B892E1B49D3}"/>
    <cellStyle name="Normal 40 2" xfId="244" xr:uid="{C61D4C27-7414-483D-B4A5-13ABFBC0035F}"/>
    <cellStyle name="Normal 40 2 2" xfId="255" xr:uid="{55CEDA5A-7456-41DD-8C2C-7A36BB594F4C}"/>
    <cellStyle name="Normal 41" xfId="142" xr:uid="{67EA1662-4D76-4DFE-899B-281A9D8FAC0D}"/>
    <cellStyle name="Normal 41 2" xfId="256" xr:uid="{9DB7A608-4F28-466D-B8DB-87E1672C20C6}"/>
    <cellStyle name="Normal 42" xfId="245" xr:uid="{B994D2F7-AB57-4066-B9CF-3253C748F33C}"/>
    <cellStyle name="Normal 42 2" xfId="257" xr:uid="{159ABC29-DB90-47FD-8A5A-700CFF6D975B}"/>
    <cellStyle name="Normal 43" xfId="143" xr:uid="{30EF4908-5EEB-404F-BEAE-8764A82CD51A}"/>
    <cellStyle name="Normal 43 2" xfId="258" xr:uid="{D70A9A42-43EB-4EEF-9499-1FAD140F45C6}"/>
    <cellStyle name="Normal 44" xfId="144" xr:uid="{F35C073D-6106-4853-99FD-2DAA363BC20E}"/>
    <cellStyle name="Normal 44 2" xfId="259" xr:uid="{DE1928D2-E431-4A95-AA98-ED2DE0CC4AA5}"/>
    <cellStyle name="Normal 45" xfId="145" xr:uid="{3842744F-3B8D-4381-8BD5-C428CCA075E0}"/>
    <cellStyle name="Normal 45 2" xfId="260" xr:uid="{375F8624-569F-4A57-930E-6807365AD963}"/>
    <cellStyle name="Normal 46" xfId="146" xr:uid="{8E7CCF71-6BF5-4646-9E0D-4AA911DB5E01}"/>
    <cellStyle name="Normal 46 2" xfId="261" xr:uid="{A4BFFE17-FDB3-45F9-985A-5DAB8E8D3D98}"/>
    <cellStyle name="Normal 47" xfId="147" xr:uid="{DB676019-0D7D-4FAB-8147-FC06778900B7}"/>
    <cellStyle name="Normal 48" xfId="148" xr:uid="{7B622C3C-A04B-4DA4-9C3A-43DDFBD01B08}"/>
    <cellStyle name="Normal 48 2" xfId="262" xr:uid="{ED21EB4B-A8DC-4A13-8235-79987A6A44C5}"/>
    <cellStyle name="Normal 49" xfId="149" xr:uid="{9E230F94-CF65-4612-85EE-B87015FAED45}"/>
    <cellStyle name="Normal 49 2" xfId="263" xr:uid="{7CE88D16-1928-49AA-8E9A-8EF5FFB09B37}"/>
    <cellStyle name="Normal 5" xfId="150" xr:uid="{E31A67BF-6455-4183-BEC9-BA607886CAC6}"/>
    <cellStyle name="Normal 5 2" xfId="151" xr:uid="{856FD779-70E7-4DE9-85A9-A5BC4A961A1E}"/>
    <cellStyle name="Normal 5 3" xfId="129" xr:uid="{7C860910-51CA-4910-8895-AF1A7D2C8286}"/>
    <cellStyle name="Normal 50" xfId="152" xr:uid="{700C26D3-F81C-4BB0-AE73-BD835C41DE3B}"/>
    <cellStyle name="Normal 50 2" xfId="264" xr:uid="{13E476E0-25D0-4004-BBEE-768D7BA0C37D}"/>
    <cellStyle name="Normal 51" xfId="153" xr:uid="{6F99B561-6DAA-49A9-86D5-367E63A63372}"/>
    <cellStyle name="Normal 51 2" xfId="265" xr:uid="{45CA2606-E3BE-428C-9097-C355FE39A25E}"/>
    <cellStyle name="Normal 52" xfId="154" xr:uid="{AC8A9765-17A3-47D3-BE64-0654E45C37BA}"/>
    <cellStyle name="Normal 52 2" xfId="266" xr:uid="{9631DAA9-EB6D-43F8-BC11-4E265A0B2B0B}"/>
    <cellStyle name="Normal 53" xfId="155" xr:uid="{857692CA-4CE3-4D6A-80E7-34CE2CCB0B18}"/>
    <cellStyle name="Normal 54" xfId="156" xr:uid="{466B4F58-9F85-4DB3-8E91-7D5E129661D1}"/>
    <cellStyle name="Normal 54 2" xfId="267" xr:uid="{9F2AC71F-A4C9-430A-A491-7B27E6EE0B29}"/>
    <cellStyle name="Normal 55" xfId="157" xr:uid="{F98A06A3-FADA-45FE-9A90-B7DF8B371956}"/>
    <cellStyle name="Normal 56" xfId="158" xr:uid="{162F38F9-0B04-4919-806B-133EDDE81A72}"/>
    <cellStyle name="Normal 57" xfId="159" xr:uid="{B5D9CEA1-BFE9-4A38-A53E-69F8AFCE106B}"/>
    <cellStyle name="Normal 58" xfId="160" xr:uid="{B9404242-079A-45EB-886B-DD40EB8DF675}"/>
    <cellStyle name="Normal 59" xfId="161" xr:uid="{6A6A994F-0ABF-46C5-99DA-AAD074FCA211}"/>
    <cellStyle name="Normal 6" xfId="162" xr:uid="{1B8DA387-B6F9-4789-8379-E5894A6FC55F}"/>
    <cellStyle name="Normal 60" xfId="163" xr:uid="{7DF6A7D9-AE5A-428A-90F7-790501C8D257}"/>
    <cellStyle name="Normal 61" xfId="164" xr:uid="{D661A601-FF95-4F84-93DA-A4F2F6FB33E7}"/>
    <cellStyle name="Normal 62" xfId="165" xr:uid="{17DC2662-FD39-4259-AB13-3E981D328645}"/>
    <cellStyle name="Normal 63" xfId="166" xr:uid="{F84FF0C5-C07F-4B34-9DBC-73BC0B5E43E2}"/>
    <cellStyle name="Normal 64" xfId="268" xr:uid="{34A73F69-2FBF-4A80-9769-C452E284B274}"/>
    <cellStyle name="Normal 65" xfId="269" xr:uid="{AFA5FADF-A1E7-4384-86C0-1A8D09771E16}"/>
    <cellStyle name="Normal 66" xfId="167" xr:uid="{0D426FAE-B4D7-49F5-852F-8F94E69B9A50}"/>
    <cellStyle name="Normal 67" xfId="168" xr:uid="{965E2333-6869-49EC-8EF2-D4325555FB87}"/>
    <cellStyle name="Normal 68" xfId="169" xr:uid="{3A28767D-F2DA-4064-9F9B-D29F5FFB4864}"/>
    <cellStyle name="Normal 69" xfId="170" xr:uid="{25154681-7925-4339-85F3-DCD6589548C6}"/>
    <cellStyle name="Normal 7" xfId="171" xr:uid="{BFE80802-BA6B-41A5-81A4-CC13329A1C6D}"/>
    <cellStyle name="Normal 70" xfId="172" xr:uid="{691CB634-2352-4F51-A00E-BE6A0896A967}"/>
    <cellStyle name="Normal 71" xfId="270" xr:uid="{D37F0D70-24D1-47D3-8039-FCBF816A8AB5}"/>
    <cellStyle name="Normal 72" xfId="271" xr:uid="{A2EE2F0D-076C-4110-9192-6400A2CE17D9}"/>
    <cellStyle name="Normal 73" xfId="173" xr:uid="{B18254AD-24F1-444C-A679-5CE76D6B0F19}"/>
    <cellStyle name="Normal 74" xfId="174" xr:uid="{02F4BF87-2CDB-4400-A53D-88B5E270209F}"/>
    <cellStyle name="Normal 75" xfId="175" xr:uid="{DC129C3B-A6DE-48BB-9F3E-CA72D05E1901}"/>
    <cellStyle name="Normal 76" xfId="176" xr:uid="{38B6D763-8BF3-4C03-A5C3-11939D83C88E}"/>
    <cellStyle name="Normal 77" xfId="177" xr:uid="{E0A39B2F-2D50-455E-99B9-D18D253768BC}"/>
    <cellStyle name="Normal 78" xfId="178" xr:uid="{901B4F7D-8487-4C93-AD15-7AF2B3C0638F}"/>
    <cellStyle name="Normal 79" xfId="179" xr:uid="{5B06193E-2A3B-4600-A78D-18ED545B76AD}"/>
    <cellStyle name="Normal 8" xfId="180" xr:uid="{1ED75B89-12F7-4492-BE7D-E132D3E15791}"/>
    <cellStyle name="Normal 80" xfId="181" xr:uid="{B480EFF0-6D36-42D0-A624-FA079B7470FD}"/>
    <cellStyle name="Normal 81" xfId="182" xr:uid="{B05EC1B6-6CF7-43E2-B357-FB64372E5DE5}"/>
    <cellStyle name="Normal 82" xfId="272" xr:uid="{B08A263D-B32D-4801-A4A4-584CF1D78056}"/>
    <cellStyle name="Normal 83" xfId="273" xr:uid="{DF0C148C-CCE2-41E2-B9B2-AD3D2273B6D6}"/>
    <cellStyle name="Normal 84" xfId="274" xr:uid="{01C12256-B136-4144-A0CE-359795417C05}"/>
    <cellStyle name="Normal 85" xfId="275" xr:uid="{09B0E358-B143-4F41-B556-8E956273E583}"/>
    <cellStyle name="Normal 86" xfId="276" xr:uid="{AC89E4EF-9CE8-4D7C-B2B7-8A772A4068F4}"/>
    <cellStyle name="Normal 87" xfId="277" xr:uid="{7A7C7A23-D6B3-449A-86C9-3EB9E1D63362}"/>
    <cellStyle name="Normal 88" xfId="278" xr:uid="{B7CCD0C7-30A7-4E81-A15D-095F4E4DB85F}"/>
    <cellStyle name="Normal 88 2" xfId="290" xr:uid="{94F214A8-6B2A-450E-8CE8-92DCB4112B06}"/>
    <cellStyle name="Normal 89" xfId="279" xr:uid="{2E9ACD93-23E9-4D1F-A886-54ACA17A5CF9}"/>
    <cellStyle name="Normal 89 2" xfId="291" xr:uid="{A13980E4-A1C6-4A18-9912-CF9639DC6C69}"/>
    <cellStyle name="Normal 9" xfId="183" xr:uid="{DEE77CFC-CC75-42C0-80CC-0B306823AA52}"/>
    <cellStyle name="Normal 90" xfId="280" xr:uid="{71677FF5-5FC3-4D85-A26C-A6E8012D4F24}"/>
    <cellStyle name="Normal 90 2" xfId="292" xr:uid="{6332BA6A-1B25-41A3-AE0E-D365F04C4153}"/>
    <cellStyle name="Normal 91" xfId="281" xr:uid="{985127A9-56EF-4A49-97CA-05357956A72E}"/>
    <cellStyle name="Normal 91 2" xfId="293" xr:uid="{2AF83B5A-4A55-4FA5-91E5-B816AACD542B}"/>
    <cellStyle name="Normal 92" xfId="282" xr:uid="{9D183A6E-9EEA-468A-824F-F8307FFA565C}"/>
    <cellStyle name="Normal 92 2" xfId="294" xr:uid="{63EAFC4C-5430-4DCF-8A44-5314E07321A0}"/>
    <cellStyle name="Normal 93" xfId="283" xr:uid="{5F05DB85-F602-4D08-8DFD-785F6D1966E2}"/>
    <cellStyle name="Normal 93 2" xfId="295" xr:uid="{8034FD78-93F9-42B1-8F1F-BFF8D5638037}"/>
    <cellStyle name="Normal 94" xfId="284" xr:uid="{524EB7E8-A57A-416C-A52D-DD626BC35DA5}"/>
    <cellStyle name="Normal 94 2" xfId="296" xr:uid="{3E576C90-F1BD-4A57-AAF0-DFBD4DF7BF84}"/>
    <cellStyle name="Normal 95" xfId="285" xr:uid="{5234B54A-1F75-4841-B37C-B22D52772A3F}"/>
    <cellStyle name="Normal 95 2" xfId="297" xr:uid="{473B7E11-1FC7-4858-8282-146E20A31604}"/>
    <cellStyle name="Normal 96" xfId="286" xr:uid="{97D1D5F7-F1D3-4F49-A8F7-1A8B678343ED}"/>
    <cellStyle name="Normal 96 2" xfId="298" xr:uid="{CDB22DC4-A0CE-473F-97D6-D69402ECDC1D}"/>
    <cellStyle name="Normal 97" xfId="287" xr:uid="{B9BCD869-CA32-4CFD-9891-58EE7628F28C}"/>
    <cellStyle name="Normal 97 2" xfId="299" xr:uid="{AB881BDB-EBDB-4CE6-BD90-664C1002E582}"/>
    <cellStyle name="Normal 98" xfId="288" xr:uid="{9CFC901A-4E8A-4A41-BD85-CE79A8D0C3E3}"/>
    <cellStyle name="Normal 98 2" xfId="300" xr:uid="{3A27B122-E0F3-4110-8E2A-096D35DD3CFD}"/>
    <cellStyle name="Normal 99" xfId="289" xr:uid="{A133661D-5C34-4FF8-89E1-182753A48DE9}"/>
    <cellStyle name="Normal 99 2" xfId="301" xr:uid="{35CC1537-BF21-4B63-B0F9-5F250F1C0409}"/>
    <cellStyle name="Note 2" xfId="99" xr:uid="{20CA601B-B397-4FC7-811A-AE4716D05F84}"/>
    <cellStyle name="Note 3" xfId="40" xr:uid="{8EA38948-D2A7-4CBE-94E6-D88441EB1633}"/>
    <cellStyle name="Output" xfId="12" builtinId="21" customBuiltin="1"/>
    <cellStyle name="Output 2" xfId="100" xr:uid="{1B229786-5AB1-469E-ACED-B01A59FEBB00}"/>
    <cellStyle name="Title" xfId="4" builtinId="15" customBuiltin="1"/>
    <cellStyle name="Title 2" xfId="101" xr:uid="{7FBB57D4-4E43-4427-BD48-A41F1E26251E}"/>
    <cellStyle name="Title 3" xfId="197" xr:uid="{B5848A3B-A99F-4869-A12D-60996FE76C87}"/>
    <cellStyle name="Total" xfId="18" builtinId="25" customBuiltin="1"/>
    <cellStyle name="Total 2" xfId="102" xr:uid="{30C11701-D77B-44B2-ADF2-7138E41B59AA}"/>
    <cellStyle name="Warning Text" xfId="16" builtinId="11" customBuiltin="1"/>
    <cellStyle name="Warning Text 2" xfId="103" xr:uid="{A5D20FB9-9BD6-4462-BFD5-906A4EFBF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opLeftCell="L1" zoomScale="110" zoomScaleNormal="110" workbookViewId="0">
      <selection activeCell="S4" sqref="S4:T71"/>
    </sheetView>
  </sheetViews>
  <sheetFormatPr defaultRowHeight="15" x14ac:dyDescent="0.25"/>
  <cols>
    <col min="1" max="1" width="9.140625" style="42"/>
    <col min="2" max="2" width="16.140625" style="35" bestFit="1" customWidth="1"/>
    <col min="3" max="3" width="11" style="35" customWidth="1"/>
    <col min="4" max="4" width="17.28515625" style="35" bestFit="1" customWidth="1"/>
    <col min="5" max="5" width="18.42578125" style="35" customWidth="1"/>
    <col min="6" max="6" width="29" style="35" bestFit="1" customWidth="1"/>
    <col min="7" max="7" width="22.5703125" style="35" customWidth="1"/>
    <col min="8" max="8" width="26" style="35" bestFit="1" customWidth="1"/>
    <col min="9" max="9" width="18.85546875" style="35" bestFit="1" customWidth="1"/>
    <col min="10" max="10" width="29.7109375" style="35" customWidth="1"/>
    <col min="11" max="11" width="21.140625" style="35" bestFit="1" customWidth="1"/>
    <col min="12" max="12" width="27.7109375" style="35" customWidth="1"/>
    <col min="13" max="13" width="21.42578125" style="35" bestFit="1" customWidth="1"/>
    <col min="14" max="14" width="29.140625" style="35" customWidth="1"/>
    <col min="15" max="15" width="43" style="35" bestFit="1" customWidth="1"/>
    <col min="16" max="16" width="23.42578125" style="35" bestFit="1" customWidth="1"/>
    <col min="17" max="17" width="22" style="35" bestFit="1" customWidth="1"/>
    <col min="18" max="18" width="24.140625" style="35" bestFit="1" customWidth="1"/>
    <col min="19" max="16384" width="9.140625" style="35"/>
  </cols>
  <sheetData>
    <row r="1" spans="1:19" x14ac:dyDescent="0.25">
      <c r="A1" s="49" t="s">
        <v>6</v>
      </c>
      <c r="B1" s="49"/>
      <c r="C1" s="34" t="s">
        <v>847</v>
      </c>
      <c r="F1" s="36"/>
      <c r="G1" s="36"/>
      <c r="H1" s="36"/>
      <c r="I1" s="36"/>
      <c r="J1" s="37"/>
    </row>
    <row r="3" spans="1:19" x14ac:dyDescent="0.25">
      <c r="A3" s="43" t="s">
        <v>18</v>
      </c>
      <c r="B3" s="38" t="s">
        <v>0</v>
      </c>
      <c r="C3" s="38" t="s">
        <v>1</v>
      </c>
      <c r="D3" s="38" t="s">
        <v>3</v>
      </c>
      <c r="E3" s="38" t="s">
        <v>93</v>
      </c>
      <c r="F3" s="38" t="s">
        <v>100</v>
      </c>
      <c r="G3" s="38" t="s">
        <v>653</v>
      </c>
      <c r="H3" s="38" t="s">
        <v>101</v>
      </c>
      <c r="I3" s="38" t="s">
        <v>102</v>
      </c>
      <c r="J3" s="38" t="s">
        <v>5</v>
      </c>
      <c r="K3" s="38" t="s">
        <v>7</v>
      </c>
      <c r="L3" s="38" t="s">
        <v>138</v>
      </c>
      <c r="M3" s="38" t="s">
        <v>9</v>
      </c>
      <c r="N3" s="38" t="s">
        <v>11</v>
      </c>
      <c r="O3" s="38" t="s">
        <v>12</v>
      </c>
      <c r="P3" s="38" t="s">
        <v>13</v>
      </c>
      <c r="Q3" s="38" t="s">
        <v>14</v>
      </c>
      <c r="R3" s="39" t="s">
        <v>15</v>
      </c>
    </row>
    <row r="4" spans="1:19" x14ac:dyDescent="0.25">
      <c r="A4" s="40" t="s">
        <v>16</v>
      </c>
      <c r="B4" s="45">
        <v>46051</v>
      </c>
      <c r="C4" s="33" t="s">
        <v>2</v>
      </c>
      <c r="D4" s="34" t="s">
        <v>43</v>
      </c>
      <c r="E4" s="34"/>
      <c r="F4" s="34"/>
      <c r="G4" s="34"/>
      <c r="H4" t="s">
        <v>923</v>
      </c>
      <c r="I4" s="34"/>
      <c r="J4" s="41" t="s">
        <v>846</v>
      </c>
      <c r="K4" s="46" t="s">
        <v>991</v>
      </c>
      <c r="L4" s="34" t="s">
        <v>8</v>
      </c>
      <c r="M4" s="34" t="s">
        <v>10</v>
      </c>
      <c r="N4" s="34" t="s">
        <v>597</v>
      </c>
      <c r="O4" t="s">
        <v>1045</v>
      </c>
      <c r="P4" t="s">
        <v>1046</v>
      </c>
      <c r="Q4" s="5"/>
      <c r="R4" s="46" t="s">
        <v>1157</v>
      </c>
      <c r="S4" s="48"/>
    </row>
    <row r="5" spans="1:19" x14ac:dyDescent="0.25">
      <c r="A5" s="40" t="s">
        <v>17</v>
      </c>
      <c r="B5" s="45">
        <v>46051</v>
      </c>
      <c r="C5" s="33" t="s">
        <v>2</v>
      </c>
      <c r="D5" s="34" t="s">
        <v>43</v>
      </c>
      <c r="E5" s="34"/>
      <c r="F5" s="34"/>
      <c r="G5" s="34"/>
      <c r="H5" t="s">
        <v>924</v>
      </c>
      <c r="I5" s="34"/>
      <c r="J5" s="41" t="s">
        <v>846</v>
      </c>
      <c r="K5" s="46" t="s">
        <v>992</v>
      </c>
      <c r="L5" s="34" t="s">
        <v>8</v>
      </c>
      <c r="M5" s="34" t="s">
        <v>10</v>
      </c>
      <c r="N5" s="34" t="s">
        <v>597</v>
      </c>
      <c r="O5" t="s">
        <v>1047</v>
      </c>
      <c r="P5" t="s">
        <v>1048</v>
      </c>
      <c r="Q5" s="5"/>
      <c r="R5" s="46" t="s">
        <v>1158</v>
      </c>
      <c r="S5" s="48"/>
    </row>
    <row r="6" spans="1:19" x14ac:dyDescent="0.25">
      <c r="A6" s="32" t="s">
        <v>834</v>
      </c>
      <c r="B6" s="45">
        <v>46051</v>
      </c>
      <c r="C6" s="33" t="s">
        <v>2</v>
      </c>
      <c r="D6" s="34" t="s">
        <v>43</v>
      </c>
      <c r="E6" s="32"/>
      <c r="F6" s="32"/>
      <c r="G6" s="32"/>
      <c r="H6" t="s">
        <v>925</v>
      </c>
      <c r="I6" s="32"/>
      <c r="J6" s="32" t="s">
        <v>846</v>
      </c>
      <c r="K6" s="46" t="s">
        <v>993</v>
      </c>
      <c r="L6" s="34" t="s">
        <v>8</v>
      </c>
      <c r="M6" s="34" t="s">
        <v>10</v>
      </c>
      <c r="N6" s="34" t="s">
        <v>597</v>
      </c>
      <c r="O6" t="s">
        <v>1049</v>
      </c>
      <c r="P6" t="s">
        <v>1050</v>
      </c>
      <c r="Q6" s="5"/>
      <c r="R6" s="46" t="s">
        <v>1159</v>
      </c>
      <c r="S6" s="48"/>
    </row>
    <row r="7" spans="1:19" x14ac:dyDescent="0.25">
      <c r="A7" s="32" t="s">
        <v>835</v>
      </c>
      <c r="B7" s="45">
        <v>46051</v>
      </c>
      <c r="C7" s="33" t="s">
        <v>2</v>
      </c>
      <c r="D7" s="34" t="s">
        <v>43</v>
      </c>
      <c r="E7" s="32"/>
      <c r="F7" s="32"/>
      <c r="G7" s="32"/>
      <c r="H7" t="s">
        <v>926</v>
      </c>
      <c r="I7" s="32"/>
      <c r="J7" s="32" t="s">
        <v>846</v>
      </c>
      <c r="K7" s="46" t="s">
        <v>994</v>
      </c>
      <c r="L7" s="34" t="s">
        <v>8</v>
      </c>
      <c r="M7" s="34" t="s">
        <v>10</v>
      </c>
      <c r="N7" s="34" t="s">
        <v>597</v>
      </c>
      <c r="O7" t="s">
        <v>1051</v>
      </c>
      <c r="P7" t="s">
        <v>1052</v>
      </c>
      <c r="Q7" s="5"/>
      <c r="R7" s="46" t="s">
        <v>1160</v>
      </c>
      <c r="S7" s="48"/>
    </row>
    <row r="8" spans="1:19" x14ac:dyDescent="0.25">
      <c r="A8" s="32" t="s">
        <v>836</v>
      </c>
      <c r="B8" s="45">
        <v>46051</v>
      </c>
      <c r="C8" s="33" t="s">
        <v>2</v>
      </c>
      <c r="D8" s="34" t="s">
        <v>43</v>
      </c>
      <c r="E8" s="32"/>
      <c r="F8" s="32"/>
      <c r="G8" s="32"/>
      <c r="H8" t="s">
        <v>927</v>
      </c>
      <c r="I8" s="32"/>
      <c r="J8" s="32" t="s">
        <v>846</v>
      </c>
      <c r="K8" s="46" t="s">
        <v>994</v>
      </c>
      <c r="L8" s="34" t="s">
        <v>8</v>
      </c>
      <c r="M8" s="34" t="s">
        <v>10</v>
      </c>
      <c r="N8" s="34" t="s">
        <v>597</v>
      </c>
      <c r="O8" t="s">
        <v>1051</v>
      </c>
      <c r="P8" t="s">
        <v>1052</v>
      </c>
      <c r="Q8" s="5"/>
      <c r="R8" s="46" t="s">
        <v>1160</v>
      </c>
      <c r="S8" s="48"/>
    </row>
    <row r="9" spans="1:19" x14ac:dyDescent="0.25">
      <c r="A9" s="32" t="s">
        <v>837</v>
      </c>
      <c r="B9" s="45">
        <v>46051</v>
      </c>
      <c r="C9" s="33" t="s">
        <v>2</v>
      </c>
      <c r="D9" s="34" t="s">
        <v>43</v>
      </c>
      <c r="E9" s="32"/>
      <c r="F9" s="32"/>
      <c r="G9" s="32"/>
      <c r="H9" t="s">
        <v>928</v>
      </c>
      <c r="I9" s="32"/>
      <c r="J9" s="32" t="s">
        <v>846</v>
      </c>
      <c r="K9" s="46" t="s">
        <v>995</v>
      </c>
      <c r="L9" s="34" t="s">
        <v>8</v>
      </c>
      <c r="M9" s="34" t="s">
        <v>10</v>
      </c>
      <c r="N9" s="34" t="s">
        <v>597</v>
      </c>
      <c r="O9" t="s">
        <v>1053</v>
      </c>
      <c r="P9" t="s">
        <v>1054</v>
      </c>
      <c r="Q9" s="5"/>
      <c r="R9" s="46" t="s">
        <v>1161</v>
      </c>
      <c r="S9" s="48"/>
    </row>
    <row r="10" spans="1:19" x14ac:dyDescent="0.25">
      <c r="A10" s="32" t="s">
        <v>838</v>
      </c>
      <c r="B10" s="45">
        <v>46051</v>
      </c>
      <c r="C10" s="33" t="s">
        <v>2</v>
      </c>
      <c r="D10" s="34" t="s">
        <v>43</v>
      </c>
      <c r="E10" s="32"/>
      <c r="F10" s="32"/>
      <c r="G10" s="32"/>
      <c r="H10" t="s">
        <v>929</v>
      </c>
      <c r="I10" s="32"/>
      <c r="J10" s="32" t="s">
        <v>846</v>
      </c>
      <c r="K10" s="46" t="s">
        <v>996</v>
      </c>
      <c r="L10" s="34" t="s">
        <v>8</v>
      </c>
      <c r="M10" s="34" t="s">
        <v>10</v>
      </c>
      <c r="N10" s="34" t="s">
        <v>597</v>
      </c>
      <c r="O10" t="s">
        <v>1055</v>
      </c>
      <c r="P10" t="s">
        <v>1056</v>
      </c>
      <c r="Q10" s="5"/>
      <c r="R10" s="46" t="s">
        <v>1162</v>
      </c>
      <c r="S10" s="48"/>
    </row>
    <row r="11" spans="1:19" x14ac:dyDescent="0.25">
      <c r="A11" s="32" t="s">
        <v>839</v>
      </c>
      <c r="B11" s="45">
        <v>46051</v>
      </c>
      <c r="C11" s="33" t="s">
        <v>2</v>
      </c>
      <c r="D11" s="34" t="s">
        <v>43</v>
      </c>
      <c r="E11" s="32"/>
      <c r="F11" s="32"/>
      <c r="G11" s="32"/>
      <c r="H11" t="s">
        <v>930</v>
      </c>
      <c r="I11" s="32"/>
      <c r="J11" s="32" t="s">
        <v>846</v>
      </c>
      <c r="K11" s="46" t="s">
        <v>997</v>
      </c>
      <c r="L11" s="34" t="s">
        <v>8</v>
      </c>
      <c r="M11" s="34" t="s">
        <v>10</v>
      </c>
      <c r="N11" s="34" t="s">
        <v>597</v>
      </c>
      <c r="O11" t="s">
        <v>1057</v>
      </c>
      <c r="P11" t="s">
        <v>1058</v>
      </c>
      <c r="Q11" s="5"/>
      <c r="R11" s="46" t="s">
        <v>1163</v>
      </c>
      <c r="S11" s="48"/>
    </row>
    <row r="12" spans="1:19" x14ac:dyDescent="0.25">
      <c r="A12" s="32" t="s">
        <v>840</v>
      </c>
      <c r="B12" s="45">
        <v>46051</v>
      </c>
      <c r="C12" s="33" t="s">
        <v>2</v>
      </c>
      <c r="D12" s="34" t="s">
        <v>43</v>
      </c>
      <c r="E12" s="32"/>
      <c r="F12" s="32"/>
      <c r="G12" s="32"/>
      <c r="H12" t="s">
        <v>931</v>
      </c>
      <c r="I12" s="32"/>
      <c r="J12" s="32" t="s">
        <v>846</v>
      </c>
      <c r="K12" s="46" t="s">
        <v>998</v>
      </c>
      <c r="L12" s="34" t="s">
        <v>8</v>
      </c>
      <c r="M12" s="34" t="s">
        <v>10</v>
      </c>
      <c r="N12" s="34" t="s">
        <v>597</v>
      </c>
      <c r="O12" t="s">
        <v>1059</v>
      </c>
      <c r="P12" t="s">
        <v>1060</v>
      </c>
      <c r="Q12" s="5"/>
      <c r="R12" s="46" t="s">
        <v>1164</v>
      </c>
      <c r="S12" s="48"/>
    </row>
    <row r="13" spans="1:19" x14ac:dyDescent="0.25">
      <c r="A13" s="32" t="s">
        <v>55</v>
      </c>
      <c r="B13" s="45">
        <v>46051</v>
      </c>
      <c r="C13" s="33" t="s">
        <v>2</v>
      </c>
      <c r="D13" s="34" t="s">
        <v>43</v>
      </c>
      <c r="E13" s="32"/>
      <c r="F13" s="32"/>
      <c r="G13" s="32"/>
      <c r="H13" t="s">
        <v>932</v>
      </c>
      <c r="I13" s="32"/>
      <c r="J13" s="32" t="s">
        <v>846</v>
      </c>
      <c r="K13" s="46" t="s">
        <v>999</v>
      </c>
      <c r="L13" s="34" t="s">
        <v>8</v>
      </c>
      <c r="M13" s="34" t="s">
        <v>10</v>
      </c>
      <c r="N13" s="34" t="s">
        <v>597</v>
      </c>
      <c r="O13" t="s">
        <v>1061</v>
      </c>
      <c r="P13" t="s">
        <v>1062</v>
      </c>
      <c r="Q13" s="5"/>
      <c r="R13" s="46" t="s">
        <v>1165</v>
      </c>
      <c r="S13" s="48"/>
    </row>
    <row r="14" spans="1:19" x14ac:dyDescent="0.25">
      <c r="A14" s="32" t="s">
        <v>841</v>
      </c>
      <c r="B14" s="45">
        <v>46051</v>
      </c>
      <c r="C14" s="33" t="s">
        <v>2</v>
      </c>
      <c r="D14" s="34" t="s">
        <v>43</v>
      </c>
      <c r="E14" s="32"/>
      <c r="F14" s="32"/>
      <c r="G14" s="32"/>
      <c r="H14" t="s">
        <v>933</v>
      </c>
      <c r="I14" s="32"/>
      <c r="J14" s="32" t="s">
        <v>846</v>
      </c>
      <c r="K14" s="47" t="s">
        <v>1000</v>
      </c>
      <c r="L14" s="34" t="s">
        <v>8</v>
      </c>
      <c r="M14" s="34" t="s">
        <v>10</v>
      </c>
      <c r="N14" s="34" t="s">
        <v>597</v>
      </c>
      <c r="O14" t="s">
        <v>1063</v>
      </c>
      <c r="P14" t="s">
        <v>1064</v>
      </c>
      <c r="Q14" s="5"/>
      <c r="R14" s="47" t="s">
        <v>1166</v>
      </c>
      <c r="S14" s="48"/>
    </row>
    <row r="15" spans="1:19" x14ac:dyDescent="0.25">
      <c r="A15" s="32" t="s">
        <v>842</v>
      </c>
      <c r="B15" s="45">
        <v>46051</v>
      </c>
      <c r="C15" s="33" t="s">
        <v>2</v>
      </c>
      <c r="D15" s="34" t="s">
        <v>43</v>
      </c>
      <c r="E15" s="32"/>
      <c r="F15" s="32"/>
      <c r="G15" s="32"/>
      <c r="H15" t="s">
        <v>934</v>
      </c>
      <c r="I15" s="32"/>
      <c r="J15" s="32" t="s">
        <v>846</v>
      </c>
      <c r="K15" s="46" t="s">
        <v>1001</v>
      </c>
      <c r="L15" s="34" t="s">
        <v>8</v>
      </c>
      <c r="M15" s="34" t="s">
        <v>10</v>
      </c>
      <c r="N15" s="34" t="s">
        <v>597</v>
      </c>
      <c r="O15" t="s">
        <v>1065</v>
      </c>
      <c r="P15" t="s">
        <v>1066</v>
      </c>
      <c r="Q15" s="5"/>
      <c r="R15" s="46" t="s">
        <v>1167</v>
      </c>
      <c r="S15" s="48"/>
    </row>
    <row r="16" spans="1:19" x14ac:dyDescent="0.25">
      <c r="A16" s="32" t="s">
        <v>843</v>
      </c>
      <c r="B16" s="45">
        <v>46051</v>
      </c>
      <c r="C16" s="33" t="s">
        <v>2</v>
      </c>
      <c r="D16" s="34" t="s">
        <v>43</v>
      </c>
      <c r="E16" s="32"/>
      <c r="F16" s="32"/>
      <c r="G16" s="32"/>
      <c r="H16" t="s">
        <v>935</v>
      </c>
      <c r="I16" s="32"/>
      <c r="J16" s="32" t="s">
        <v>846</v>
      </c>
      <c r="K16" s="46" t="s">
        <v>1002</v>
      </c>
      <c r="L16" s="34" t="s">
        <v>8</v>
      </c>
      <c r="M16" s="34" t="s">
        <v>10</v>
      </c>
      <c r="N16" s="34" t="s">
        <v>597</v>
      </c>
      <c r="O16" t="s">
        <v>1067</v>
      </c>
      <c r="P16" t="s">
        <v>1068</v>
      </c>
      <c r="Q16" s="5"/>
      <c r="R16" s="46" t="s">
        <v>1168</v>
      </c>
      <c r="S16" s="48"/>
    </row>
    <row r="17" spans="1:19" x14ac:dyDescent="0.25">
      <c r="A17" s="32" t="s">
        <v>844</v>
      </c>
      <c r="B17" s="45">
        <v>46051</v>
      </c>
      <c r="C17" s="33" t="s">
        <v>2</v>
      </c>
      <c r="D17" s="34" t="s">
        <v>43</v>
      </c>
      <c r="E17" s="32"/>
      <c r="F17" s="32"/>
      <c r="G17" s="32"/>
      <c r="H17" t="s">
        <v>936</v>
      </c>
      <c r="I17" s="32"/>
      <c r="J17" s="32" t="s">
        <v>846</v>
      </c>
      <c r="K17" s="47" t="s">
        <v>1003</v>
      </c>
      <c r="L17" s="34" t="s">
        <v>8</v>
      </c>
      <c r="M17" s="34" t="s">
        <v>10</v>
      </c>
      <c r="N17" s="34" t="s">
        <v>597</v>
      </c>
      <c r="O17" t="s">
        <v>1069</v>
      </c>
      <c r="P17" t="s">
        <v>1070</v>
      </c>
      <c r="Q17" s="5"/>
      <c r="R17" s="47" t="s">
        <v>1169</v>
      </c>
      <c r="S17" s="48"/>
    </row>
    <row r="18" spans="1:19" x14ac:dyDescent="0.25">
      <c r="A18" s="32" t="s">
        <v>845</v>
      </c>
      <c r="B18" s="45">
        <v>46051</v>
      </c>
      <c r="C18" s="33" t="s">
        <v>2</v>
      </c>
      <c r="D18" s="34" t="s">
        <v>43</v>
      </c>
      <c r="E18" s="32"/>
      <c r="F18" s="32"/>
      <c r="G18" s="32"/>
      <c r="H18" t="s">
        <v>937</v>
      </c>
      <c r="I18" s="32"/>
      <c r="J18" s="32" t="s">
        <v>846</v>
      </c>
      <c r="K18" s="46" t="s">
        <v>901</v>
      </c>
      <c r="L18" s="34" t="s">
        <v>8</v>
      </c>
      <c r="M18" s="34" t="s">
        <v>10</v>
      </c>
      <c r="N18" s="34" t="s">
        <v>597</v>
      </c>
      <c r="O18" t="s">
        <v>917</v>
      </c>
      <c r="P18" t="s">
        <v>918</v>
      </c>
      <c r="Q18" s="5"/>
      <c r="R18" s="46" t="s">
        <v>904</v>
      </c>
      <c r="S18" s="48"/>
    </row>
    <row r="19" spans="1:19" x14ac:dyDescent="0.25">
      <c r="A19" s="32" t="s">
        <v>848</v>
      </c>
      <c r="B19" s="45">
        <v>46051</v>
      </c>
      <c r="C19" s="33" t="s">
        <v>2</v>
      </c>
      <c r="D19" s="34" t="s">
        <v>43</v>
      </c>
      <c r="E19" s="32"/>
      <c r="F19" s="32"/>
      <c r="G19" s="32"/>
      <c r="H19" t="s">
        <v>938</v>
      </c>
      <c r="I19" s="32"/>
      <c r="J19" s="32" t="s">
        <v>846</v>
      </c>
      <c r="K19" s="46" t="s">
        <v>1004</v>
      </c>
      <c r="L19" s="34" t="s">
        <v>8</v>
      </c>
      <c r="M19" s="34" t="s">
        <v>10</v>
      </c>
      <c r="N19" s="34" t="s">
        <v>597</v>
      </c>
      <c r="O19" t="s">
        <v>1071</v>
      </c>
      <c r="P19" t="s">
        <v>1072</v>
      </c>
      <c r="Q19" s="30"/>
      <c r="R19" s="46" t="s">
        <v>1170</v>
      </c>
      <c r="S19" s="48"/>
    </row>
    <row r="20" spans="1:19" x14ac:dyDescent="0.25">
      <c r="A20" s="32" t="s">
        <v>849</v>
      </c>
      <c r="B20" s="45">
        <v>46051</v>
      </c>
      <c r="C20" s="33" t="s">
        <v>2</v>
      </c>
      <c r="D20" s="34" t="s">
        <v>43</v>
      </c>
      <c r="E20" s="32"/>
      <c r="F20" s="32"/>
      <c r="G20" s="32"/>
      <c r="H20" t="s">
        <v>939</v>
      </c>
      <c r="I20" s="32"/>
      <c r="J20" s="32" t="s">
        <v>846</v>
      </c>
      <c r="K20" s="46" t="s">
        <v>1005</v>
      </c>
      <c r="L20" s="34" t="s">
        <v>8</v>
      </c>
      <c r="M20" s="34" t="s">
        <v>10</v>
      </c>
      <c r="N20" s="34" t="s">
        <v>597</v>
      </c>
      <c r="O20" t="s">
        <v>1073</v>
      </c>
      <c r="P20" t="s">
        <v>1074</v>
      </c>
      <c r="Q20" s="30"/>
      <c r="R20" s="46" t="s">
        <v>1171</v>
      </c>
      <c r="S20" s="48"/>
    </row>
    <row r="21" spans="1:19" x14ac:dyDescent="0.25">
      <c r="A21" s="32" t="s">
        <v>850</v>
      </c>
      <c r="B21" s="45">
        <v>46051</v>
      </c>
      <c r="C21" s="33" t="s">
        <v>2</v>
      </c>
      <c r="D21" s="34" t="s">
        <v>43</v>
      </c>
      <c r="E21" s="32"/>
      <c r="F21" s="32"/>
      <c r="G21" s="32"/>
      <c r="H21" t="s">
        <v>940</v>
      </c>
      <c r="I21" s="32"/>
      <c r="J21" s="32" t="s">
        <v>846</v>
      </c>
      <c r="K21" s="47" t="s">
        <v>1006</v>
      </c>
      <c r="L21" s="34" t="s">
        <v>8</v>
      </c>
      <c r="M21" s="34" t="s">
        <v>10</v>
      </c>
      <c r="N21" s="34" t="s">
        <v>597</v>
      </c>
      <c r="O21" t="s">
        <v>1075</v>
      </c>
      <c r="P21" t="s">
        <v>1076</v>
      </c>
      <c r="Q21" s="30"/>
      <c r="R21" s="47" t="s">
        <v>1172</v>
      </c>
      <c r="S21" s="48"/>
    </row>
    <row r="22" spans="1:19" x14ac:dyDescent="0.25">
      <c r="A22" s="32" t="s">
        <v>851</v>
      </c>
      <c r="B22" s="45">
        <v>46051</v>
      </c>
      <c r="C22" s="33" t="s">
        <v>2</v>
      </c>
      <c r="D22" s="34" t="s">
        <v>43</v>
      </c>
      <c r="E22" s="32"/>
      <c r="F22" s="32"/>
      <c r="G22" s="32"/>
      <c r="H22" t="s">
        <v>941</v>
      </c>
      <c r="I22" s="32"/>
      <c r="J22" s="32" t="s">
        <v>846</v>
      </c>
      <c r="K22" s="47" t="s">
        <v>906</v>
      </c>
      <c r="L22" s="34" t="s">
        <v>8</v>
      </c>
      <c r="M22" s="34" t="s">
        <v>10</v>
      </c>
      <c r="N22" s="34" t="s">
        <v>597</v>
      </c>
      <c r="O22" t="s">
        <v>910</v>
      </c>
      <c r="P22" t="s">
        <v>911</v>
      </c>
      <c r="Q22" s="30"/>
      <c r="R22" s="47" t="s">
        <v>919</v>
      </c>
      <c r="S22" s="48"/>
    </row>
    <row r="23" spans="1:19" x14ac:dyDescent="0.25">
      <c r="A23" s="32" t="s">
        <v>852</v>
      </c>
      <c r="B23" s="45">
        <v>46051</v>
      </c>
      <c r="C23" s="33" t="s">
        <v>2</v>
      </c>
      <c r="D23" s="34" t="s">
        <v>43</v>
      </c>
      <c r="E23" s="32"/>
      <c r="F23" s="32"/>
      <c r="G23" s="32"/>
      <c r="H23" t="s">
        <v>942</v>
      </c>
      <c r="I23" s="32"/>
      <c r="J23" s="32" t="s">
        <v>846</v>
      </c>
      <c r="K23" s="47" t="s">
        <v>1007</v>
      </c>
      <c r="L23" s="34" t="s">
        <v>8</v>
      </c>
      <c r="M23" s="34" t="s">
        <v>10</v>
      </c>
      <c r="N23" s="34" t="s">
        <v>597</v>
      </c>
      <c r="O23" t="s">
        <v>1077</v>
      </c>
      <c r="P23" t="s">
        <v>1078</v>
      </c>
      <c r="Q23" s="30"/>
      <c r="R23" s="47" t="s">
        <v>1173</v>
      </c>
      <c r="S23" s="48"/>
    </row>
    <row r="24" spans="1:19" x14ac:dyDescent="0.25">
      <c r="A24" s="32" t="s">
        <v>853</v>
      </c>
      <c r="B24" s="45">
        <v>46051</v>
      </c>
      <c r="C24" s="33" t="s">
        <v>2</v>
      </c>
      <c r="D24" s="34" t="s">
        <v>43</v>
      </c>
      <c r="E24" s="32"/>
      <c r="F24" s="32"/>
      <c r="G24" s="32"/>
      <c r="H24" t="s">
        <v>943</v>
      </c>
      <c r="I24" s="32"/>
      <c r="J24" s="32" t="s">
        <v>846</v>
      </c>
      <c r="K24" s="46" t="s">
        <v>906</v>
      </c>
      <c r="L24" s="34" t="s">
        <v>8</v>
      </c>
      <c r="M24" s="34" t="s">
        <v>10</v>
      </c>
      <c r="N24" s="34" t="s">
        <v>597</v>
      </c>
      <c r="O24" t="s">
        <v>910</v>
      </c>
      <c r="P24" t="s">
        <v>911</v>
      </c>
      <c r="Q24" s="30"/>
      <c r="R24" s="46" t="s">
        <v>919</v>
      </c>
      <c r="S24" s="48"/>
    </row>
    <row r="25" spans="1:19" x14ac:dyDescent="0.25">
      <c r="A25" s="32" t="s">
        <v>854</v>
      </c>
      <c r="B25" s="45">
        <v>46051</v>
      </c>
      <c r="C25" s="33" t="s">
        <v>2</v>
      </c>
      <c r="D25" s="34" t="s">
        <v>43</v>
      </c>
      <c r="E25" s="32"/>
      <c r="F25" s="32"/>
      <c r="G25" s="32"/>
      <c r="H25" t="s">
        <v>944</v>
      </c>
      <c r="I25" s="32"/>
      <c r="J25" s="32" t="s">
        <v>846</v>
      </c>
      <c r="K25" s="46" t="s">
        <v>1008</v>
      </c>
      <c r="L25" s="34" t="s">
        <v>8</v>
      </c>
      <c r="M25" s="34" t="s">
        <v>10</v>
      </c>
      <c r="N25" s="34" t="s">
        <v>597</v>
      </c>
      <c r="O25" t="s">
        <v>1079</v>
      </c>
      <c r="P25" t="s">
        <v>1080</v>
      </c>
      <c r="Q25" s="30"/>
      <c r="R25" s="46" t="s">
        <v>1174</v>
      </c>
      <c r="S25" s="48"/>
    </row>
    <row r="26" spans="1:19" x14ac:dyDescent="0.25">
      <c r="A26" s="32" t="s">
        <v>855</v>
      </c>
      <c r="B26" s="45">
        <v>46051</v>
      </c>
      <c r="C26" s="33" t="s">
        <v>2</v>
      </c>
      <c r="D26" s="34" t="s">
        <v>43</v>
      </c>
      <c r="E26" s="32"/>
      <c r="F26" s="32"/>
      <c r="G26" s="32"/>
      <c r="H26" t="s">
        <v>945</v>
      </c>
      <c r="I26" s="32"/>
      <c r="J26" s="32" t="s">
        <v>846</v>
      </c>
      <c r="K26" s="47" t="s">
        <v>1009</v>
      </c>
      <c r="L26" s="34" t="s">
        <v>8</v>
      </c>
      <c r="M26" s="34" t="s">
        <v>10</v>
      </c>
      <c r="N26" s="34" t="s">
        <v>597</v>
      </c>
      <c r="O26" t="s">
        <v>1081</v>
      </c>
      <c r="P26" t="s">
        <v>1082</v>
      </c>
      <c r="Q26" s="30"/>
      <c r="R26" s="47" t="s">
        <v>1175</v>
      </c>
      <c r="S26" s="48"/>
    </row>
    <row r="27" spans="1:19" x14ac:dyDescent="0.25">
      <c r="A27" s="32" t="s">
        <v>856</v>
      </c>
      <c r="B27" s="45">
        <v>46051</v>
      </c>
      <c r="C27" s="33" t="s">
        <v>2</v>
      </c>
      <c r="D27" s="34" t="s">
        <v>43</v>
      </c>
      <c r="E27" s="32"/>
      <c r="F27" s="32"/>
      <c r="G27" s="32"/>
      <c r="H27" t="s">
        <v>946</v>
      </c>
      <c r="I27" s="32"/>
      <c r="J27" s="32" t="s">
        <v>846</v>
      </c>
      <c r="K27" s="47" t="s">
        <v>1010</v>
      </c>
      <c r="L27" s="34" t="s">
        <v>8</v>
      </c>
      <c r="M27" s="34" t="s">
        <v>10</v>
      </c>
      <c r="N27" s="34" t="s">
        <v>597</v>
      </c>
      <c r="O27" t="s">
        <v>1083</v>
      </c>
      <c r="P27" t="s">
        <v>1084</v>
      </c>
      <c r="Q27" s="30"/>
      <c r="R27" s="47" t="s">
        <v>1176</v>
      </c>
      <c r="S27" s="48"/>
    </row>
    <row r="28" spans="1:19" x14ac:dyDescent="0.25">
      <c r="A28" s="32" t="s">
        <v>857</v>
      </c>
      <c r="B28" s="45">
        <v>46051</v>
      </c>
      <c r="C28" s="33" t="s">
        <v>2</v>
      </c>
      <c r="D28" s="34" t="s">
        <v>43</v>
      </c>
      <c r="E28" s="32"/>
      <c r="F28" s="32"/>
      <c r="G28" s="32"/>
      <c r="H28" t="s">
        <v>947</v>
      </c>
      <c r="I28" s="32"/>
      <c r="J28" s="32" t="s">
        <v>846</v>
      </c>
      <c r="K28" s="47" t="s">
        <v>1011</v>
      </c>
      <c r="L28" s="34" t="s">
        <v>8</v>
      </c>
      <c r="M28" s="34" t="s">
        <v>10</v>
      </c>
      <c r="N28" s="34" t="s">
        <v>597</v>
      </c>
      <c r="O28" t="s">
        <v>1085</v>
      </c>
      <c r="P28" t="s">
        <v>1086</v>
      </c>
      <c r="Q28" s="30"/>
      <c r="R28" s="47" t="s">
        <v>1177</v>
      </c>
      <c r="S28" s="48"/>
    </row>
    <row r="29" spans="1:19" x14ac:dyDescent="0.25">
      <c r="A29" s="32" t="s">
        <v>858</v>
      </c>
      <c r="B29" s="45">
        <v>46051</v>
      </c>
      <c r="C29" s="33" t="s">
        <v>2</v>
      </c>
      <c r="D29" s="34" t="s">
        <v>43</v>
      </c>
      <c r="E29" s="32"/>
      <c r="F29" s="32"/>
      <c r="G29" s="32"/>
      <c r="H29" t="s">
        <v>948</v>
      </c>
      <c r="I29" s="32"/>
      <c r="J29" s="32" t="s">
        <v>846</v>
      </c>
      <c r="K29" s="46" t="s">
        <v>1012</v>
      </c>
      <c r="L29" s="34" t="s">
        <v>8</v>
      </c>
      <c r="M29" s="34" t="s">
        <v>10</v>
      </c>
      <c r="N29" s="34" t="s">
        <v>597</v>
      </c>
      <c r="O29" t="s">
        <v>1087</v>
      </c>
      <c r="P29" t="s">
        <v>1088</v>
      </c>
      <c r="Q29" s="30"/>
      <c r="R29" s="46" t="s">
        <v>1178</v>
      </c>
      <c r="S29" s="48"/>
    </row>
    <row r="30" spans="1:19" x14ac:dyDescent="0.25">
      <c r="A30" s="32" t="s">
        <v>859</v>
      </c>
      <c r="B30" s="45">
        <v>46051</v>
      </c>
      <c r="C30" s="33" t="s">
        <v>2</v>
      </c>
      <c r="D30" s="34" t="s">
        <v>43</v>
      </c>
      <c r="E30" s="32"/>
      <c r="F30" s="32"/>
      <c r="G30" s="32"/>
      <c r="H30" t="s">
        <v>949</v>
      </c>
      <c r="I30" s="32"/>
      <c r="J30" s="32" t="s">
        <v>846</v>
      </c>
      <c r="K30" s="46" t="s">
        <v>907</v>
      </c>
      <c r="L30" s="34" t="s">
        <v>8</v>
      </c>
      <c r="M30" s="34" t="s">
        <v>10</v>
      </c>
      <c r="N30" s="34" t="s">
        <v>597</v>
      </c>
      <c r="O30" t="s">
        <v>1089</v>
      </c>
      <c r="P30" t="s">
        <v>1090</v>
      </c>
      <c r="Q30" s="30"/>
      <c r="R30" s="46" t="s">
        <v>920</v>
      </c>
      <c r="S30" s="48"/>
    </row>
    <row r="31" spans="1:19" x14ac:dyDescent="0.25">
      <c r="A31" s="32" t="s">
        <v>860</v>
      </c>
      <c r="B31" s="45">
        <v>46051</v>
      </c>
      <c r="C31" s="33" t="s">
        <v>2</v>
      </c>
      <c r="D31" s="34" t="s">
        <v>43</v>
      </c>
      <c r="E31" s="32"/>
      <c r="F31" s="32"/>
      <c r="G31" s="32"/>
      <c r="H31" t="s">
        <v>950</v>
      </c>
      <c r="I31" s="32"/>
      <c r="J31" s="32" t="s">
        <v>846</v>
      </c>
      <c r="K31" s="46" t="s">
        <v>907</v>
      </c>
      <c r="L31" s="34" t="s">
        <v>8</v>
      </c>
      <c r="M31" s="34" t="s">
        <v>10</v>
      </c>
      <c r="N31" s="34" t="s">
        <v>597</v>
      </c>
      <c r="O31" t="s">
        <v>912</v>
      </c>
      <c r="P31" t="s">
        <v>913</v>
      </c>
      <c r="Q31" s="30"/>
      <c r="R31" s="46" t="s">
        <v>920</v>
      </c>
      <c r="S31" s="48"/>
    </row>
    <row r="32" spans="1:19" x14ac:dyDescent="0.25">
      <c r="A32" s="32" t="s">
        <v>861</v>
      </c>
      <c r="B32" s="45">
        <v>46051</v>
      </c>
      <c r="C32" s="33" t="s">
        <v>2</v>
      </c>
      <c r="D32" s="34" t="s">
        <v>43</v>
      </c>
      <c r="E32" s="32"/>
      <c r="F32" s="32"/>
      <c r="G32" s="32"/>
      <c r="H32" t="s">
        <v>951</v>
      </c>
      <c r="I32" s="32"/>
      <c r="J32" s="32" t="s">
        <v>846</v>
      </c>
      <c r="K32" s="47" t="s">
        <v>1013</v>
      </c>
      <c r="L32" s="34" t="s">
        <v>8</v>
      </c>
      <c r="M32" s="34" t="s">
        <v>10</v>
      </c>
      <c r="N32" s="34" t="s">
        <v>597</v>
      </c>
      <c r="O32" t="s">
        <v>1091</v>
      </c>
      <c r="P32" t="s">
        <v>1092</v>
      </c>
      <c r="Q32" s="30"/>
      <c r="R32" s="47" t="s">
        <v>1179</v>
      </c>
      <c r="S32" s="48"/>
    </row>
    <row r="33" spans="1:19" x14ac:dyDescent="0.25">
      <c r="A33" s="32" t="s">
        <v>862</v>
      </c>
      <c r="B33" s="45">
        <v>46051</v>
      </c>
      <c r="C33" s="33" t="s">
        <v>2</v>
      </c>
      <c r="D33" s="34" t="s">
        <v>43</v>
      </c>
      <c r="E33" s="32"/>
      <c r="F33" s="32"/>
      <c r="G33" s="32"/>
      <c r="H33" t="s">
        <v>952</v>
      </c>
      <c r="I33" s="32"/>
      <c r="J33" s="32" t="s">
        <v>846</v>
      </c>
      <c r="K33" s="47" t="s">
        <v>1014</v>
      </c>
      <c r="L33" s="34" t="s">
        <v>8</v>
      </c>
      <c r="M33" s="34" t="s">
        <v>10</v>
      </c>
      <c r="N33" s="34" t="s">
        <v>597</v>
      </c>
      <c r="O33" t="s">
        <v>1093</v>
      </c>
      <c r="P33" t="s">
        <v>1094</v>
      </c>
      <c r="Q33" s="30"/>
      <c r="R33" s="47" t="s">
        <v>1180</v>
      </c>
      <c r="S33" s="48"/>
    </row>
    <row r="34" spans="1:19" x14ac:dyDescent="0.25">
      <c r="A34" s="32" t="s">
        <v>863</v>
      </c>
      <c r="B34" s="45">
        <v>46051</v>
      </c>
      <c r="C34" s="33" t="s">
        <v>2</v>
      </c>
      <c r="D34" s="34" t="s">
        <v>43</v>
      </c>
      <c r="E34" s="32"/>
      <c r="F34" s="32"/>
      <c r="G34" s="32"/>
      <c r="H34" t="s">
        <v>953</v>
      </c>
      <c r="I34" s="32"/>
      <c r="J34" s="32" t="s">
        <v>846</v>
      </c>
      <c r="K34" s="46" t="s">
        <v>1015</v>
      </c>
      <c r="L34" s="34" t="s">
        <v>8</v>
      </c>
      <c r="M34" s="34" t="s">
        <v>10</v>
      </c>
      <c r="N34" s="34" t="s">
        <v>597</v>
      </c>
      <c r="O34" t="s">
        <v>1095</v>
      </c>
      <c r="P34" t="s">
        <v>1096</v>
      </c>
      <c r="Q34" s="30"/>
      <c r="R34" s="46" t="s">
        <v>1181</v>
      </c>
      <c r="S34" s="48"/>
    </row>
    <row r="35" spans="1:19" x14ac:dyDescent="0.25">
      <c r="A35" s="32" t="s">
        <v>864</v>
      </c>
      <c r="B35" s="45">
        <v>46051</v>
      </c>
      <c r="C35" s="33" t="s">
        <v>2</v>
      </c>
      <c r="D35" s="34" t="s">
        <v>43</v>
      </c>
      <c r="E35" s="32"/>
      <c r="F35" s="32"/>
      <c r="G35" s="32"/>
      <c r="H35" t="s">
        <v>954</v>
      </c>
      <c r="I35" s="32"/>
      <c r="J35" s="32" t="s">
        <v>846</v>
      </c>
      <c r="K35" s="46" t="s">
        <v>1016</v>
      </c>
      <c r="L35" s="34" t="s">
        <v>8</v>
      </c>
      <c r="M35" s="34" t="s">
        <v>10</v>
      </c>
      <c r="N35" s="34" t="s">
        <v>597</v>
      </c>
      <c r="O35" t="s">
        <v>1097</v>
      </c>
      <c r="P35" t="s">
        <v>1098</v>
      </c>
      <c r="Q35" s="30"/>
      <c r="R35" s="46" t="s">
        <v>1182</v>
      </c>
      <c r="S35" s="48"/>
    </row>
    <row r="36" spans="1:19" x14ac:dyDescent="0.25">
      <c r="A36" s="32" t="s">
        <v>865</v>
      </c>
      <c r="B36" s="45">
        <v>46051</v>
      </c>
      <c r="C36" s="33" t="s">
        <v>2</v>
      </c>
      <c r="D36" s="34" t="s">
        <v>43</v>
      </c>
      <c r="E36" s="32"/>
      <c r="F36" s="32"/>
      <c r="G36" s="32"/>
      <c r="H36" t="s">
        <v>955</v>
      </c>
      <c r="I36" s="32"/>
      <c r="J36" s="32" t="s">
        <v>846</v>
      </c>
      <c r="K36" s="46" t="s">
        <v>1017</v>
      </c>
      <c r="L36" s="34" t="s">
        <v>8</v>
      </c>
      <c r="M36" s="34" t="s">
        <v>10</v>
      </c>
      <c r="N36" s="34" t="s">
        <v>597</v>
      </c>
      <c r="O36" t="s">
        <v>1099</v>
      </c>
      <c r="P36" t="s">
        <v>1100</v>
      </c>
      <c r="Q36" s="30"/>
      <c r="R36" s="46" t="s">
        <v>1183</v>
      </c>
      <c r="S36" s="48"/>
    </row>
    <row r="37" spans="1:19" x14ac:dyDescent="0.25">
      <c r="A37" s="32" t="s">
        <v>866</v>
      </c>
      <c r="B37" s="45">
        <v>46051</v>
      </c>
      <c r="C37" s="33" t="s">
        <v>2</v>
      </c>
      <c r="D37" s="34" t="s">
        <v>43</v>
      </c>
      <c r="E37" s="32"/>
      <c r="F37" s="32"/>
      <c r="G37" s="32"/>
      <c r="H37" t="s">
        <v>956</v>
      </c>
      <c r="I37" s="32"/>
      <c r="J37" s="32" t="s">
        <v>846</v>
      </c>
      <c r="K37" s="46" t="s">
        <v>1018</v>
      </c>
      <c r="L37" s="34" t="s">
        <v>8</v>
      </c>
      <c r="M37" s="34" t="s">
        <v>10</v>
      </c>
      <c r="N37" s="34" t="s">
        <v>597</v>
      </c>
      <c r="O37" t="s">
        <v>1101</v>
      </c>
      <c r="P37" t="s">
        <v>1102</v>
      </c>
      <c r="Q37" s="30"/>
      <c r="R37" s="46" t="s">
        <v>1184</v>
      </c>
      <c r="S37" s="48"/>
    </row>
    <row r="38" spans="1:19" x14ac:dyDescent="0.25">
      <c r="A38" s="32" t="s">
        <v>867</v>
      </c>
      <c r="B38" s="45">
        <v>46051</v>
      </c>
      <c r="C38" s="33" t="s">
        <v>2</v>
      </c>
      <c r="D38" s="34" t="s">
        <v>43</v>
      </c>
      <c r="E38" s="32"/>
      <c r="F38" s="32"/>
      <c r="G38" s="32"/>
      <c r="H38" t="s">
        <v>957</v>
      </c>
      <c r="I38" s="32"/>
      <c r="J38" s="32" t="s">
        <v>846</v>
      </c>
      <c r="K38" s="47" t="s">
        <v>1019</v>
      </c>
      <c r="L38" s="34" t="s">
        <v>8</v>
      </c>
      <c r="M38" s="34" t="s">
        <v>10</v>
      </c>
      <c r="N38" s="34" t="s">
        <v>597</v>
      </c>
      <c r="O38" t="s">
        <v>1103</v>
      </c>
      <c r="P38" t="s">
        <v>1104</v>
      </c>
      <c r="Q38" s="30"/>
      <c r="R38" s="47" t="s">
        <v>1185</v>
      </c>
      <c r="S38" s="48"/>
    </row>
    <row r="39" spans="1:19" x14ac:dyDescent="0.25">
      <c r="A39" s="32" t="s">
        <v>868</v>
      </c>
      <c r="B39" s="45">
        <v>46051</v>
      </c>
      <c r="C39" s="33" t="s">
        <v>2</v>
      </c>
      <c r="D39" s="34" t="s">
        <v>43</v>
      </c>
      <c r="E39" s="32"/>
      <c r="F39" s="32"/>
      <c r="G39" s="32"/>
      <c r="H39" t="s">
        <v>958</v>
      </c>
      <c r="I39" s="32"/>
      <c r="J39" s="32" t="s">
        <v>846</v>
      </c>
      <c r="K39" s="46" t="s">
        <v>908</v>
      </c>
      <c r="L39" s="34" t="s">
        <v>8</v>
      </c>
      <c r="M39" s="34" t="s">
        <v>10</v>
      </c>
      <c r="N39" s="34" t="s">
        <v>597</v>
      </c>
      <c r="O39" t="s">
        <v>914</v>
      </c>
      <c r="P39" t="s">
        <v>915</v>
      </c>
      <c r="Q39" s="30"/>
      <c r="R39" s="46" t="s">
        <v>921</v>
      </c>
      <c r="S39" s="48"/>
    </row>
    <row r="40" spans="1:19" x14ac:dyDescent="0.25">
      <c r="A40" s="32" t="s">
        <v>869</v>
      </c>
      <c r="B40" s="45">
        <v>46051</v>
      </c>
      <c r="C40" s="33" t="s">
        <v>2</v>
      </c>
      <c r="D40" s="34" t="s">
        <v>43</v>
      </c>
      <c r="E40" s="32"/>
      <c r="F40" s="32"/>
      <c r="G40" s="32"/>
      <c r="H40" t="s">
        <v>959</v>
      </c>
      <c r="I40" s="32"/>
      <c r="J40" s="32" t="s">
        <v>846</v>
      </c>
      <c r="K40" s="47" t="s">
        <v>1020</v>
      </c>
      <c r="L40" s="34" t="s">
        <v>8</v>
      </c>
      <c r="M40" s="34" t="s">
        <v>10</v>
      </c>
      <c r="N40" s="34" t="s">
        <v>597</v>
      </c>
      <c r="O40" t="s">
        <v>1105</v>
      </c>
      <c r="P40" t="s">
        <v>1106</v>
      </c>
      <c r="Q40" s="30"/>
      <c r="R40" s="47" t="s">
        <v>1186</v>
      </c>
      <c r="S40" s="48"/>
    </row>
    <row r="41" spans="1:19" x14ac:dyDescent="0.25">
      <c r="A41" s="32" t="s">
        <v>870</v>
      </c>
      <c r="B41" s="45">
        <v>46051</v>
      </c>
      <c r="C41" s="33" t="s">
        <v>2</v>
      </c>
      <c r="D41" s="34" t="s">
        <v>43</v>
      </c>
      <c r="E41" s="32"/>
      <c r="F41" s="32"/>
      <c r="G41" s="32"/>
      <c r="H41" t="s">
        <v>960</v>
      </c>
      <c r="I41" s="32"/>
      <c r="J41" s="32" t="s">
        <v>846</v>
      </c>
      <c r="K41" s="47" t="s">
        <v>1021</v>
      </c>
      <c r="L41" s="34" t="s">
        <v>8</v>
      </c>
      <c r="M41" s="34" t="s">
        <v>10</v>
      </c>
      <c r="N41" s="34" t="s">
        <v>597</v>
      </c>
      <c r="O41" t="s">
        <v>1107</v>
      </c>
      <c r="P41" t="s">
        <v>1108</v>
      </c>
      <c r="Q41" s="30"/>
      <c r="R41" s="47" t="s">
        <v>1187</v>
      </c>
      <c r="S41" s="48"/>
    </row>
    <row r="42" spans="1:19" x14ac:dyDescent="0.25">
      <c r="A42" s="32" t="s">
        <v>871</v>
      </c>
      <c r="B42" s="45">
        <v>46051</v>
      </c>
      <c r="C42" s="33" t="s">
        <v>2</v>
      </c>
      <c r="D42" s="34" t="s">
        <v>43</v>
      </c>
      <c r="E42" s="32"/>
      <c r="F42" s="32"/>
      <c r="G42" s="32"/>
      <c r="H42" t="s">
        <v>961</v>
      </c>
      <c r="I42" s="32"/>
      <c r="J42" s="32" t="s">
        <v>846</v>
      </c>
      <c r="K42" s="46" t="s">
        <v>1022</v>
      </c>
      <c r="L42" s="34" t="s">
        <v>8</v>
      </c>
      <c r="M42" s="34" t="s">
        <v>10</v>
      </c>
      <c r="N42" s="34" t="s">
        <v>597</v>
      </c>
      <c r="O42" t="s">
        <v>1109</v>
      </c>
      <c r="P42" t="s">
        <v>1110</v>
      </c>
      <c r="Q42" s="30"/>
      <c r="R42" s="46" t="s">
        <v>1188</v>
      </c>
      <c r="S42" s="48"/>
    </row>
    <row r="43" spans="1:19" x14ac:dyDescent="0.25">
      <c r="A43" s="32" t="s">
        <v>872</v>
      </c>
      <c r="B43" s="45">
        <v>46051</v>
      </c>
      <c r="C43" s="33" t="s">
        <v>2</v>
      </c>
      <c r="D43" s="34" t="s">
        <v>43</v>
      </c>
      <c r="E43" s="32"/>
      <c r="F43" s="32"/>
      <c r="G43" s="32"/>
      <c r="H43" t="s">
        <v>962</v>
      </c>
      <c r="I43" s="32"/>
      <c r="J43" s="32" t="s">
        <v>846</v>
      </c>
      <c r="K43" s="46" t="s">
        <v>1023</v>
      </c>
      <c r="L43" s="34" t="s">
        <v>8</v>
      </c>
      <c r="M43" s="34" t="s">
        <v>10</v>
      </c>
      <c r="N43" s="34" t="s">
        <v>597</v>
      </c>
      <c r="O43" t="s">
        <v>1111</v>
      </c>
      <c r="P43" t="s">
        <v>1112</v>
      </c>
      <c r="Q43" s="30"/>
      <c r="R43" s="46" t="s">
        <v>1189</v>
      </c>
      <c r="S43" s="48"/>
    </row>
    <row r="44" spans="1:19" x14ac:dyDescent="0.25">
      <c r="A44" s="32" t="s">
        <v>873</v>
      </c>
      <c r="B44" s="45">
        <v>46051</v>
      </c>
      <c r="C44" s="33" t="s">
        <v>2</v>
      </c>
      <c r="D44" s="34" t="s">
        <v>43</v>
      </c>
      <c r="E44" s="32"/>
      <c r="F44" s="32"/>
      <c r="G44" s="32"/>
      <c r="H44" t="s">
        <v>963</v>
      </c>
      <c r="I44" s="32"/>
      <c r="J44" s="32" t="s">
        <v>846</v>
      </c>
      <c r="K44" s="46" t="s">
        <v>902</v>
      </c>
      <c r="L44" s="34" t="s">
        <v>8</v>
      </c>
      <c r="M44" s="34" t="s">
        <v>10</v>
      </c>
      <c r="N44" s="34" t="s">
        <v>597</v>
      </c>
      <c r="O44" t="s">
        <v>903</v>
      </c>
      <c r="P44" t="s">
        <v>916</v>
      </c>
      <c r="Q44" s="30"/>
      <c r="R44" s="46" t="s">
        <v>905</v>
      </c>
      <c r="S44" s="48"/>
    </row>
    <row r="45" spans="1:19" x14ac:dyDescent="0.25">
      <c r="A45" s="32" t="s">
        <v>874</v>
      </c>
      <c r="B45" s="45">
        <v>46051</v>
      </c>
      <c r="C45" s="33" t="s">
        <v>2</v>
      </c>
      <c r="D45" s="34" t="s">
        <v>43</v>
      </c>
      <c r="E45" s="32"/>
      <c r="F45" s="32"/>
      <c r="G45" s="32"/>
      <c r="H45" t="s">
        <v>964</v>
      </c>
      <c r="I45" s="32"/>
      <c r="J45" s="32" t="s">
        <v>846</v>
      </c>
      <c r="K45" s="47" t="s">
        <v>1024</v>
      </c>
      <c r="L45" s="34" t="s">
        <v>8</v>
      </c>
      <c r="M45" s="34" t="s">
        <v>10</v>
      </c>
      <c r="N45" s="34" t="s">
        <v>597</v>
      </c>
      <c r="O45" t="s">
        <v>1113</v>
      </c>
      <c r="P45" t="s">
        <v>1114</v>
      </c>
      <c r="Q45" s="30"/>
      <c r="R45" s="47" t="s">
        <v>1190</v>
      </c>
      <c r="S45" s="48"/>
    </row>
    <row r="46" spans="1:19" x14ac:dyDescent="0.25">
      <c r="A46" s="32" t="s">
        <v>875</v>
      </c>
      <c r="B46" s="45">
        <v>46051</v>
      </c>
      <c r="C46" s="33" t="s">
        <v>2</v>
      </c>
      <c r="D46" s="34" t="s">
        <v>43</v>
      </c>
      <c r="E46" s="32"/>
      <c r="F46" s="32"/>
      <c r="G46" s="32"/>
      <c r="H46" t="s">
        <v>965</v>
      </c>
      <c r="I46" s="32"/>
      <c r="J46" s="32" t="s">
        <v>846</v>
      </c>
      <c r="K46" s="47" t="s">
        <v>1025</v>
      </c>
      <c r="L46" s="34" t="s">
        <v>8</v>
      </c>
      <c r="M46" s="34" t="s">
        <v>10</v>
      </c>
      <c r="N46" s="34" t="s">
        <v>597</v>
      </c>
      <c r="O46" t="s">
        <v>1115</v>
      </c>
      <c r="P46" t="s">
        <v>1116</v>
      </c>
      <c r="Q46" s="30"/>
      <c r="R46" s="47" t="s">
        <v>1191</v>
      </c>
      <c r="S46" s="48"/>
    </row>
    <row r="47" spans="1:19" x14ac:dyDescent="0.25">
      <c r="A47" s="32" t="s">
        <v>876</v>
      </c>
      <c r="B47" s="45">
        <v>46051</v>
      </c>
      <c r="C47" s="33" t="s">
        <v>2</v>
      </c>
      <c r="D47" s="34" t="s">
        <v>43</v>
      </c>
      <c r="E47" s="32"/>
      <c r="F47" s="32"/>
      <c r="G47" s="32"/>
      <c r="H47" t="s">
        <v>966</v>
      </c>
      <c r="I47" s="32"/>
      <c r="J47" s="32" t="s">
        <v>846</v>
      </c>
      <c r="K47" s="46" t="s">
        <v>1026</v>
      </c>
      <c r="L47" s="34" t="s">
        <v>8</v>
      </c>
      <c r="M47" s="34" t="s">
        <v>10</v>
      </c>
      <c r="N47" s="34" t="s">
        <v>597</v>
      </c>
      <c r="O47" t="s">
        <v>1117</v>
      </c>
      <c r="P47" t="s">
        <v>1118</v>
      </c>
      <c r="Q47" s="30"/>
      <c r="R47" s="46" t="s">
        <v>1192</v>
      </c>
      <c r="S47" s="48"/>
    </row>
    <row r="48" spans="1:19" x14ac:dyDescent="0.25">
      <c r="A48" s="32" t="s">
        <v>877</v>
      </c>
      <c r="B48" s="45">
        <v>46051</v>
      </c>
      <c r="C48" s="33" t="s">
        <v>2</v>
      </c>
      <c r="D48" s="34" t="s">
        <v>43</v>
      </c>
      <c r="E48" s="32"/>
      <c r="F48" s="32"/>
      <c r="G48" s="32"/>
      <c r="H48" t="s">
        <v>967</v>
      </c>
      <c r="I48" s="32"/>
      <c r="J48" s="32" t="s">
        <v>846</v>
      </c>
      <c r="K48" s="46" t="s">
        <v>1027</v>
      </c>
      <c r="L48" s="34" t="s">
        <v>8</v>
      </c>
      <c r="M48" s="34" t="s">
        <v>10</v>
      </c>
      <c r="N48" s="34" t="s">
        <v>597</v>
      </c>
      <c r="O48" t="s">
        <v>1119</v>
      </c>
      <c r="P48" t="s">
        <v>1120</v>
      </c>
      <c r="Q48" s="30"/>
      <c r="R48" s="46" t="s">
        <v>1193</v>
      </c>
      <c r="S48" s="48"/>
    </row>
    <row r="49" spans="1:19" x14ac:dyDescent="0.25">
      <c r="A49" s="32" t="s">
        <v>878</v>
      </c>
      <c r="B49" s="45">
        <v>46051</v>
      </c>
      <c r="C49" s="33" t="s">
        <v>2</v>
      </c>
      <c r="D49" s="34" t="s">
        <v>43</v>
      </c>
      <c r="E49" s="32"/>
      <c r="F49" s="32"/>
      <c r="G49" s="32"/>
      <c r="H49" t="s">
        <v>968</v>
      </c>
      <c r="I49" s="32"/>
      <c r="J49" s="32" t="s">
        <v>846</v>
      </c>
      <c r="K49" s="47" t="s">
        <v>1028</v>
      </c>
      <c r="L49" s="34" t="s">
        <v>8</v>
      </c>
      <c r="M49" s="34" t="s">
        <v>10</v>
      </c>
      <c r="N49" s="34" t="s">
        <v>597</v>
      </c>
      <c r="O49" t="s">
        <v>1121</v>
      </c>
      <c r="P49" t="s">
        <v>1122</v>
      </c>
      <c r="Q49" s="30"/>
      <c r="R49" s="47" t="s">
        <v>1194</v>
      </c>
      <c r="S49" s="48"/>
    </row>
    <row r="50" spans="1:19" x14ac:dyDescent="0.25">
      <c r="A50" s="32" t="s">
        <v>879</v>
      </c>
      <c r="B50" s="45">
        <v>46051</v>
      </c>
      <c r="C50" s="33" t="s">
        <v>2</v>
      </c>
      <c r="D50" s="34" t="s">
        <v>43</v>
      </c>
      <c r="E50" s="32"/>
      <c r="F50" s="32"/>
      <c r="G50" s="32"/>
      <c r="H50" t="s">
        <v>969</v>
      </c>
      <c r="I50" s="32"/>
      <c r="J50" s="32" t="s">
        <v>846</v>
      </c>
      <c r="K50" s="47" t="s">
        <v>1029</v>
      </c>
      <c r="L50" s="34" t="s">
        <v>8</v>
      </c>
      <c r="M50" s="34" t="s">
        <v>10</v>
      </c>
      <c r="N50" s="34" t="s">
        <v>597</v>
      </c>
      <c r="O50" t="s">
        <v>1123</v>
      </c>
      <c r="P50" t="s">
        <v>1124</v>
      </c>
      <c r="Q50" s="30"/>
      <c r="R50" s="47" t="s">
        <v>1195</v>
      </c>
      <c r="S50" s="48"/>
    </row>
    <row r="51" spans="1:19" x14ac:dyDescent="0.25">
      <c r="A51" s="32" t="s">
        <v>880</v>
      </c>
      <c r="B51" s="45">
        <v>46051</v>
      </c>
      <c r="C51" s="33" t="s">
        <v>2</v>
      </c>
      <c r="D51" s="34" t="s">
        <v>43</v>
      </c>
      <c r="E51" s="32"/>
      <c r="F51" s="32"/>
      <c r="G51" s="32"/>
      <c r="H51" t="s">
        <v>970</v>
      </c>
      <c r="I51" s="32"/>
      <c r="J51" s="32" t="s">
        <v>846</v>
      </c>
      <c r="K51" s="46" t="s">
        <v>1029</v>
      </c>
      <c r="L51" s="34" t="s">
        <v>8</v>
      </c>
      <c r="M51" s="34" t="s">
        <v>10</v>
      </c>
      <c r="N51" s="34" t="s">
        <v>597</v>
      </c>
      <c r="O51" t="s">
        <v>1123</v>
      </c>
      <c r="P51" t="s">
        <v>1124</v>
      </c>
      <c r="Q51" s="30"/>
      <c r="R51" s="46" t="s">
        <v>1195</v>
      </c>
      <c r="S51" s="48"/>
    </row>
    <row r="52" spans="1:19" x14ac:dyDescent="0.25">
      <c r="A52" s="32" t="s">
        <v>881</v>
      </c>
      <c r="B52" s="45">
        <v>46051</v>
      </c>
      <c r="C52" s="33" t="s">
        <v>2</v>
      </c>
      <c r="D52" s="34" t="s">
        <v>43</v>
      </c>
      <c r="E52" s="32"/>
      <c r="F52" s="32"/>
      <c r="G52" s="32"/>
      <c r="H52" t="s">
        <v>971</v>
      </c>
      <c r="I52" s="32"/>
      <c r="J52" s="32" t="s">
        <v>846</v>
      </c>
      <c r="K52" s="47" t="s">
        <v>1030</v>
      </c>
      <c r="L52" s="34" t="s">
        <v>8</v>
      </c>
      <c r="M52" s="34" t="s">
        <v>10</v>
      </c>
      <c r="N52" s="34" t="s">
        <v>597</v>
      </c>
      <c r="O52" t="s">
        <v>1125</v>
      </c>
      <c r="P52" t="s">
        <v>1126</v>
      </c>
      <c r="Q52" s="30"/>
      <c r="R52" s="47" t="s">
        <v>1196</v>
      </c>
      <c r="S52" s="48"/>
    </row>
    <row r="53" spans="1:19" x14ac:dyDescent="0.25">
      <c r="A53" s="32" t="s">
        <v>882</v>
      </c>
      <c r="B53" s="45">
        <v>46051</v>
      </c>
      <c r="C53" s="33" t="s">
        <v>2</v>
      </c>
      <c r="D53" s="34" t="s">
        <v>43</v>
      </c>
      <c r="E53" s="32"/>
      <c r="F53" s="32"/>
      <c r="G53" s="32"/>
      <c r="H53" t="s">
        <v>972</v>
      </c>
      <c r="I53" s="32"/>
      <c r="J53" s="32" t="s">
        <v>846</v>
      </c>
      <c r="K53" s="46" t="s">
        <v>909</v>
      </c>
      <c r="L53" s="34" t="s">
        <v>8</v>
      </c>
      <c r="M53" s="34" t="s">
        <v>10</v>
      </c>
      <c r="N53" s="34" t="s">
        <v>597</v>
      </c>
      <c r="O53" t="s">
        <v>1127</v>
      </c>
      <c r="P53" t="s">
        <v>1128</v>
      </c>
      <c r="Q53" s="30"/>
      <c r="R53" s="46" t="s">
        <v>922</v>
      </c>
      <c r="S53" s="48"/>
    </row>
    <row r="54" spans="1:19" x14ac:dyDescent="0.25">
      <c r="A54" s="32" t="s">
        <v>883</v>
      </c>
      <c r="B54" s="45">
        <v>46051</v>
      </c>
      <c r="C54" s="33" t="s">
        <v>2</v>
      </c>
      <c r="D54" s="34" t="s">
        <v>43</v>
      </c>
      <c r="E54" s="32"/>
      <c r="F54" s="32"/>
      <c r="G54" s="32"/>
      <c r="H54" t="s">
        <v>973</v>
      </c>
      <c r="I54" s="32"/>
      <c r="J54" s="32" t="s">
        <v>846</v>
      </c>
      <c r="K54" s="46" t="s">
        <v>1031</v>
      </c>
      <c r="L54" s="34" t="s">
        <v>8</v>
      </c>
      <c r="M54" s="34" t="s">
        <v>10</v>
      </c>
      <c r="N54" s="34" t="s">
        <v>597</v>
      </c>
      <c r="O54" t="s">
        <v>1129</v>
      </c>
      <c r="P54" t="s">
        <v>1130</v>
      </c>
      <c r="Q54" s="30"/>
      <c r="R54" s="46" t="s">
        <v>1197</v>
      </c>
      <c r="S54" s="48"/>
    </row>
    <row r="55" spans="1:19" x14ac:dyDescent="0.25">
      <c r="A55" s="32" t="s">
        <v>884</v>
      </c>
      <c r="B55" s="45">
        <v>46051</v>
      </c>
      <c r="C55" s="33" t="s">
        <v>2</v>
      </c>
      <c r="D55" s="34" t="s">
        <v>43</v>
      </c>
      <c r="E55" s="32"/>
      <c r="F55" s="32"/>
      <c r="G55" s="32"/>
      <c r="H55" t="s">
        <v>974</v>
      </c>
      <c r="I55" s="32"/>
      <c r="J55" s="32" t="s">
        <v>846</v>
      </c>
      <c r="K55" s="46" t="s">
        <v>1032</v>
      </c>
      <c r="L55" s="34" t="s">
        <v>8</v>
      </c>
      <c r="M55" s="34" t="s">
        <v>10</v>
      </c>
      <c r="N55" s="34" t="s">
        <v>597</v>
      </c>
      <c r="O55" t="s">
        <v>1131</v>
      </c>
      <c r="P55" t="s">
        <v>1132</v>
      </c>
      <c r="Q55" s="30"/>
      <c r="R55" s="46" t="s">
        <v>1198</v>
      </c>
      <c r="S55" s="48"/>
    </row>
    <row r="56" spans="1:19" x14ac:dyDescent="0.25">
      <c r="A56" s="32" t="s">
        <v>885</v>
      </c>
      <c r="B56" s="45">
        <v>46051</v>
      </c>
      <c r="C56" s="33" t="s">
        <v>2</v>
      </c>
      <c r="D56" s="34" t="s">
        <v>43</v>
      </c>
      <c r="E56" s="32"/>
      <c r="F56" s="32"/>
      <c r="G56" s="32"/>
      <c r="H56" t="s">
        <v>975</v>
      </c>
      <c r="I56" s="32"/>
      <c r="J56" s="32" t="s">
        <v>846</v>
      </c>
      <c r="K56" s="46" t="s">
        <v>1033</v>
      </c>
      <c r="L56" s="34" t="s">
        <v>8</v>
      </c>
      <c r="M56" s="34" t="s">
        <v>10</v>
      </c>
      <c r="N56" s="34" t="s">
        <v>597</v>
      </c>
      <c r="O56" t="s">
        <v>1133</v>
      </c>
      <c r="P56" t="s">
        <v>1134</v>
      </c>
      <c r="Q56" s="30"/>
      <c r="R56" s="46" t="s">
        <v>1199</v>
      </c>
      <c r="S56" s="48"/>
    </row>
    <row r="57" spans="1:19" x14ac:dyDescent="0.25">
      <c r="A57" s="32" t="s">
        <v>886</v>
      </c>
      <c r="B57" s="45">
        <v>46051</v>
      </c>
      <c r="C57" s="33" t="s">
        <v>2</v>
      </c>
      <c r="D57" s="34" t="s">
        <v>43</v>
      </c>
      <c r="E57" s="32"/>
      <c r="F57" s="32"/>
      <c r="G57" s="32"/>
      <c r="H57" t="s">
        <v>976</v>
      </c>
      <c r="I57" s="32"/>
      <c r="J57" s="32" t="s">
        <v>846</v>
      </c>
      <c r="K57" s="46" t="s">
        <v>1032</v>
      </c>
      <c r="L57" s="34" t="s">
        <v>8</v>
      </c>
      <c r="M57" s="34" t="s">
        <v>10</v>
      </c>
      <c r="N57" s="34" t="s">
        <v>597</v>
      </c>
      <c r="O57" t="s">
        <v>1131</v>
      </c>
      <c r="P57" t="s">
        <v>1132</v>
      </c>
      <c r="Q57" s="30"/>
      <c r="R57" s="46" t="s">
        <v>1198</v>
      </c>
      <c r="S57" s="48"/>
    </row>
    <row r="58" spans="1:19" x14ac:dyDescent="0.25">
      <c r="A58" s="32" t="s">
        <v>887</v>
      </c>
      <c r="B58" s="45">
        <v>46051</v>
      </c>
      <c r="C58" s="33" t="s">
        <v>2</v>
      </c>
      <c r="D58" s="34" t="s">
        <v>43</v>
      </c>
      <c r="E58" s="32"/>
      <c r="F58" s="32"/>
      <c r="G58" s="32"/>
      <c r="H58" t="s">
        <v>977</v>
      </c>
      <c r="I58" s="32"/>
      <c r="J58" s="32" t="s">
        <v>846</v>
      </c>
      <c r="K58" s="46" t="s">
        <v>1034</v>
      </c>
      <c r="L58" s="34" t="s">
        <v>8</v>
      </c>
      <c r="M58" s="34" t="s">
        <v>10</v>
      </c>
      <c r="N58" s="34" t="s">
        <v>597</v>
      </c>
      <c r="O58" t="s">
        <v>1135</v>
      </c>
      <c r="P58" t="s">
        <v>1136</v>
      </c>
      <c r="Q58" s="30"/>
      <c r="R58" s="46" t="s">
        <v>1200</v>
      </c>
      <c r="S58" s="48"/>
    </row>
    <row r="59" spans="1:19" x14ac:dyDescent="0.25">
      <c r="A59" s="32" t="s">
        <v>888</v>
      </c>
      <c r="B59" s="45">
        <v>46051</v>
      </c>
      <c r="C59" s="33" t="s">
        <v>2</v>
      </c>
      <c r="D59" s="34" t="s">
        <v>43</v>
      </c>
      <c r="E59" s="32"/>
      <c r="F59" s="32"/>
      <c r="G59" s="32"/>
      <c r="H59" t="s">
        <v>978</v>
      </c>
      <c r="I59" s="32"/>
      <c r="J59" s="32" t="s">
        <v>846</v>
      </c>
      <c r="K59" s="46" t="s">
        <v>1034</v>
      </c>
      <c r="L59" s="34" t="s">
        <v>8</v>
      </c>
      <c r="M59" s="34" t="s">
        <v>10</v>
      </c>
      <c r="N59" s="34" t="s">
        <v>597</v>
      </c>
      <c r="O59" t="s">
        <v>1135</v>
      </c>
      <c r="P59" t="s">
        <v>1136</v>
      </c>
      <c r="Q59" s="30"/>
      <c r="R59" s="46" t="s">
        <v>1200</v>
      </c>
      <c r="S59" s="48"/>
    </row>
    <row r="60" spans="1:19" x14ac:dyDescent="0.25">
      <c r="A60" s="32" t="s">
        <v>889</v>
      </c>
      <c r="B60" s="45">
        <v>46051</v>
      </c>
      <c r="C60" s="33" t="s">
        <v>2</v>
      </c>
      <c r="D60" s="34" t="s">
        <v>43</v>
      </c>
      <c r="E60" s="32"/>
      <c r="F60" s="32"/>
      <c r="G60" s="32"/>
      <c r="H60" t="s">
        <v>979</v>
      </c>
      <c r="I60" s="32"/>
      <c r="J60" s="32" t="s">
        <v>846</v>
      </c>
      <c r="K60" s="46" t="s">
        <v>1035</v>
      </c>
      <c r="L60" s="34" t="s">
        <v>8</v>
      </c>
      <c r="M60" s="34" t="s">
        <v>10</v>
      </c>
      <c r="N60" s="34" t="s">
        <v>597</v>
      </c>
      <c r="O60" t="s">
        <v>1137</v>
      </c>
      <c r="P60" t="s">
        <v>1138</v>
      </c>
      <c r="Q60" s="30"/>
      <c r="R60" s="46" t="s">
        <v>1201</v>
      </c>
      <c r="S60" s="48"/>
    </row>
    <row r="61" spans="1:19" x14ac:dyDescent="0.25">
      <c r="A61" s="32" t="s">
        <v>890</v>
      </c>
      <c r="B61" s="45">
        <v>46051</v>
      </c>
      <c r="C61" s="33" t="s">
        <v>2</v>
      </c>
      <c r="D61" s="34" t="s">
        <v>43</v>
      </c>
      <c r="E61" s="32"/>
      <c r="F61" s="32"/>
      <c r="G61" s="32"/>
      <c r="H61" t="s">
        <v>980</v>
      </c>
      <c r="I61" s="32"/>
      <c r="J61" s="32" t="s">
        <v>846</v>
      </c>
      <c r="K61" s="46" t="s">
        <v>1036</v>
      </c>
      <c r="L61" s="34" t="s">
        <v>8</v>
      </c>
      <c r="M61" s="34" t="s">
        <v>10</v>
      </c>
      <c r="N61" s="34" t="s">
        <v>597</v>
      </c>
      <c r="O61" t="s">
        <v>1139</v>
      </c>
      <c r="P61" t="s">
        <v>1140</v>
      </c>
      <c r="Q61" s="30"/>
      <c r="R61" s="46" t="s">
        <v>1202</v>
      </c>
      <c r="S61" s="48"/>
    </row>
    <row r="62" spans="1:19" x14ac:dyDescent="0.25">
      <c r="A62" s="32" t="s">
        <v>891</v>
      </c>
      <c r="B62" s="45">
        <v>46051</v>
      </c>
      <c r="C62" s="33" t="s">
        <v>2</v>
      </c>
      <c r="D62" s="34" t="s">
        <v>43</v>
      </c>
      <c r="E62" s="32"/>
      <c r="F62" s="32"/>
      <c r="G62" s="32"/>
      <c r="H62" t="s">
        <v>981</v>
      </c>
      <c r="I62" s="32"/>
      <c r="J62" s="32" t="s">
        <v>846</v>
      </c>
      <c r="K62" s="46" t="s">
        <v>1037</v>
      </c>
      <c r="L62" s="34" t="s">
        <v>8</v>
      </c>
      <c r="M62" s="34" t="s">
        <v>10</v>
      </c>
      <c r="N62" s="34" t="s">
        <v>597</v>
      </c>
      <c r="O62" t="s">
        <v>1141</v>
      </c>
      <c r="P62" t="s">
        <v>1142</v>
      </c>
      <c r="Q62" s="30"/>
      <c r="R62" s="46" t="s">
        <v>1203</v>
      </c>
      <c r="S62" s="48"/>
    </row>
    <row r="63" spans="1:19" x14ac:dyDescent="0.25">
      <c r="A63" s="32" t="s">
        <v>892</v>
      </c>
      <c r="B63" s="45">
        <v>46051</v>
      </c>
      <c r="C63" s="33" t="s">
        <v>2</v>
      </c>
      <c r="D63" s="34" t="s">
        <v>43</v>
      </c>
      <c r="E63" s="32"/>
      <c r="F63" s="32"/>
      <c r="G63" s="32"/>
      <c r="H63" t="s">
        <v>982</v>
      </c>
      <c r="I63" s="32"/>
      <c r="J63" s="32" t="s">
        <v>846</v>
      </c>
      <c r="K63" s="46" t="s">
        <v>1037</v>
      </c>
      <c r="L63" s="34" t="s">
        <v>8</v>
      </c>
      <c r="M63" s="34" t="s">
        <v>10</v>
      </c>
      <c r="N63" s="34" t="s">
        <v>597</v>
      </c>
      <c r="O63" t="s">
        <v>1141</v>
      </c>
      <c r="P63" t="s">
        <v>1142</v>
      </c>
      <c r="Q63" s="30"/>
      <c r="R63" s="46" t="s">
        <v>1203</v>
      </c>
      <c r="S63" s="48"/>
    </row>
    <row r="64" spans="1:19" x14ac:dyDescent="0.25">
      <c r="A64" s="32" t="s">
        <v>893</v>
      </c>
      <c r="B64" s="45">
        <v>46051</v>
      </c>
      <c r="C64" s="33" t="s">
        <v>2</v>
      </c>
      <c r="D64" s="34" t="s">
        <v>43</v>
      </c>
      <c r="E64" s="32"/>
      <c r="F64" s="32"/>
      <c r="G64" s="32"/>
      <c r="H64" t="s">
        <v>983</v>
      </c>
      <c r="I64" s="32"/>
      <c r="J64" s="32" t="s">
        <v>846</v>
      </c>
      <c r="K64" s="46" t="s">
        <v>1037</v>
      </c>
      <c r="L64" s="34" t="s">
        <v>8</v>
      </c>
      <c r="M64" s="34" t="s">
        <v>10</v>
      </c>
      <c r="N64" s="34" t="s">
        <v>597</v>
      </c>
      <c r="O64" t="s">
        <v>1141</v>
      </c>
      <c r="P64" t="s">
        <v>1142</v>
      </c>
      <c r="Q64" s="30"/>
      <c r="R64" s="46" t="s">
        <v>1203</v>
      </c>
      <c r="S64" s="48"/>
    </row>
    <row r="65" spans="1:19" x14ac:dyDescent="0.25">
      <c r="A65" s="32" t="s">
        <v>894</v>
      </c>
      <c r="B65" s="45">
        <v>46051</v>
      </c>
      <c r="C65" s="33" t="s">
        <v>2</v>
      </c>
      <c r="D65" s="34" t="s">
        <v>43</v>
      </c>
      <c r="E65" s="32"/>
      <c r="F65" s="32"/>
      <c r="G65" s="32"/>
      <c r="H65" t="s">
        <v>984</v>
      </c>
      <c r="I65" s="32"/>
      <c r="J65" s="32" t="s">
        <v>846</v>
      </c>
      <c r="K65" s="46" t="s">
        <v>1038</v>
      </c>
      <c r="L65" s="34" t="s">
        <v>8</v>
      </c>
      <c r="M65" s="34" t="s">
        <v>10</v>
      </c>
      <c r="N65" s="34" t="s">
        <v>597</v>
      </c>
      <c r="O65" t="s">
        <v>1143</v>
      </c>
      <c r="P65" t="s">
        <v>1144</v>
      </c>
      <c r="Q65" s="30"/>
      <c r="R65" s="46" t="s">
        <v>1204</v>
      </c>
      <c r="S65" s="48"/>
    </row>
    <row r="66" spans="1:19" x14ac:dyDescent="0.25">
      <c r="A66" s="32" t="s">
        <v>895</v>
      </c>
      <c r="B66" s="45">
        <v>46051</v>
      </c>
      <c r="C66" s="33" t="s">
        <v>2</v>
      </c>
      <c r="D66" s="34" t="s">
        <v>43</v>
      </c>
      <c r="E66" s="32"/>
      <c r="F66" s="32"/>
      <c r="G66" s="32"/>
      <c r="H66" t="s">
        <v>985</v>
      </c>
      <c r="I66" s="32"/>
      <c r="J66" s="32" t="s">
        <v>846</v>
      </c>
      <c r="K66" s="46" t="s">
        <v>1039</v>
      </c>
      <c r="L66" s="34" t="s">
        <v>8</v>
      </c>
      <c r="M66" s="34" t="s">
        <v>10</v>
      </c>
      <c r="N66" s="34" t="s">
        <v>597</v>
      </c>
      <c r="O66" t="s">
        <v>1145</v>
      </c>
      <c r="P66" t="s">
        <v>1146</v>
      </c>
      <c r="Q66" s="30"/>
      <c r="R66" s="46" t="s">
        <v>1205</v>
      </c>
      <c r="S66" s="48"/>
    </row>
    <row r="67" spans="1:19" x14ac:dyDescent="0.25">
      <c r="A67" s="32" t="s">
        <v>896</v>
      </c>
      <c r="B67" s="45">
        <v>46051</v>
      </c>
      <c r="C67" s="33" t="s">
        <v>2</v>
      </c>
      <c r="D67" s="34" t="s">
        <v>43</v>
      </c>
      <c r="E67" s="32"/>
      <c r="F67" s="32"/>
      <c r="G67" s="32"/>
      <c r="H67" t="s">
        <v>986</v>
      </c>
      <c r="I67" s="32"/>
      <c r="J67" s="32" t="s">
        <v>846</v>
      </c>
      <c r="K67" s="46" t="s">
        <v>1040</v>
      </c>
      <c r="L67" s="34" t="s">
        <v>8</v>
      </c>
      <c r="M67" s="34" t="s">
        <v>10</v>
      </c>
      <c r="N67" s="34" t="s">
        <v>597</v>
      </c>
      <c r="O67" t="s">
        <v>1147</v>
      </c>
      <c r="P67" t="s">
        <v>1148</v>
      </c>
      <c r="Q67" s="30"/>
      <c r="R67" s="46" t="s">
        <v>1206</v>
      </c>
      <c r="S67" s="48"/>
    </row>
    <row r="68" spans="1:19" x14ac:dyDescent="0.25">
      <c r="A68" s="32" t="s">
        <v>897</v>
      </c>
      <c r="B68" s="45">
        <v>46051</v>
      </c>
      <c r="C68" s="33" t="s">
        <v>2</v>
      </c>
      <c r="D68" s="34" t="s">
        <v>43</v>
      </c>
      <c r="E68" s="32"/>
      <c r="F68" s="32"/>
      <c r="G68" s="32"/>
      <c r="H68" t="s">
        <v>987</v>
      </c>
      <c r="I68" s="32"/>
      <c r="J68" s="32" t="s">
        <v>846</v>
      </c>
      <c r="K68" s="46" t="s">
        <v>1041</v>
      </c>
      <c r="L68" s="34" t="s">
        <v>8</v>
      </c>
      <c r="M68" s="34" t="s">
        <v>10</v>
      </c>
      <c r="N68" s="34" t="s">
        <v>597</v>
      </c>
      <c r="O68" t="s">
        <v>1149</v>
      </c>
      <c r="P68" t="s">
        <v>1150</v>
      </c>
      <c r="Q68" s="30"/>
      <c r="R68" s="46" t="s">
        <v>1207</v>
      </c>
      <c r="S68" s="48"/>
    </row>
    <row r="69" spans="1:19" x14ac:dyDescent="0.25">
      <c r="A69" s="32" t="s">
        <v>898</v>
      </c>
      <c r="B69" s="45">
        <v>46051</v>
      </c>
      <c r="C69" s="33" t="s">
        <v>2</v>
      </c>
      <c r="D69" s="34" t="s">
        <v>43</v>
      </c>
      <c r="E69" s="32"/>
      <c r="F69" s="32"/>
      <c r="G69" s="32"/>
      <c r="H69" t="s">
        <v>988</v>
      </c>
      <c r="I69" s="32"/>
      <c r="J69" s="32" t="s">
        <v>846</v>
      </c>
      <c r="K69" s="46" t="s">
        <v>1042</v>
      </c>
      <c r="L69" s="34" t="s">
        <v>8</v>
      </c>
      <c r="M69" s="34" t="s">
        <v>10</v>
      </c>
      <c r="N69" s="34" t="s">
        <v>597</v>
      </c>
      <c r="O69" t="s">
        <v>1151</v>
      </c>
      <c r="P69" t="s">
        <v>1152</v>
      </c>
      <c r="Q69" s="30"/>
      <c r="R69" s="46" t="s">
        <v>1208</v>
      </c>
      <c r="S69" s="48"/>
    </row>
    <row r="70" spans="1:19" x14ac:dyDescent="0.25">
      <c r="A70" s="32" t="s">
        <v>899</v>
      </c>
      <c r="B70" s="45">
        <v>46051</v>
      </c>
      <c r="C70" s="33" t="s">
        <v>2</v>
      </c>
      <c r="D70" s="34" t="s">
        <v>43</v>
      </c>
      <c r="E70" s="32"/>
      <c r="F70" s="32"/>
      <c r="G70" s="32"/>
      <c r="H70" t="s">
        <v>989</v>
      </c>
      <c r="I70" s="32"/>
      <c r="J70" s="32" t="s">
        <v>846</v>
      </c>
      <c r="K70" s="46" t="s">
        <v>1043</v>
      </c>
      <c r="L70" s="34" t="s">
        <v>8</v>
      </c>
      <c r="M70" s="34" t="s">
        <v>10</v>
      </c>
      <c r="N70" s="34" t="s">
        <v>597</v>
      </c>
      <c r="O70" t="s">
        <v>1153</v>
      </c>
      <c r="P70" t="s">
        <v>1154</v>
      </c>
      <c r="Q70" s="30"/>
      <c r="R70" s="46" t="s">
        <v>1209</v>
      </c>
      <c r="S70" s="48"/>
    </row>
    <row r="71" spans="1:19" x14ac:dyDescent="0.25">
      <c r="A71" s="32" t="s">
        <v>900</v>
      </c>
      <c r="B71" s="45">
        <v>46051</v>
      </c>
      <c r="C71" s="33" t="s">
        <v>2</v>
      </c>
      <c r="D71" s="34" t="s">
        <v>43</v>
      </c>
      <c r="E71" s="32"/>
      <c r="F71" s="32"/>
      <c r="G71" s="32"/>
      <c r="H71" t="s">
        <v>990</v>
      </c>
      <c r="I71" s="32"/>
      <c r="J71" s="32" t="s">
        <v>846</v>
      </c>
      <c r="K71" s="46" t="s">
        <v>1044</v>
      </c>
      <c r="L71" s="34" t="s">
        <v>8</v>
      </c>
      <c r="M71" s="34" t="s">
        <v>10</v>
      </c>
      <c r="N71" s="34" t="s">
        <v>597</v>
      </c>
      <c r="O71" t="s">
        <v>1155</v>
      </c>
      <c r="P71" t="s">
        <v>1156</v>
      </c>
      <c r="Q71" s="30"/>
      <c r="R71" s="46" t="s">
        <v>1210</v>
      </c>
      <c r="S71" s="48"/>
    </row>
    <row r="72" spans="1:19" x14ac:dyDescent="0.25">
      <c r="A72" s="44" t="s">
        <v>31</v>
      </c>
    </row>
  </sheetData>
  <autoFilter ref="A3:R72" xr:uid="{00000000-0001-0000-0000-000000000000}"/>
  <mergeCells count="1">
    <mergeCell ref="A1:B1"/>
  </mergeCells>
  <phoneticPr fontId="10" type="noConversion"/>
  <dataValidations count="1">
    <dataValidation type="list" allowBlank="1" showInputMessage="1" showErrorMessage="1" sqref="C4:C71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6FE4C3F-C209-414F-8A85-75B6F23F8640}">
          <x14:formula1>
            <xm:f>REF!$A$6:$A$15</xm:f>
          </x14:formula1>
          <xm:sqref>D4:D71</xm:sqref>
        </x14:dataValidation>
        <x14:dataValidation type="list" allowBlank="1" showInputMessage="1" showErrorMessage="1" xr:uid="{C6407533-3701-4973-A1E8-5E1ABE12FD3C}">
          <x14:formula1>
            <xm:f>REF!$A$59</xm:f>
          </x14:formula1>
          <xm:sqref>G4:G71</xm:sqref>
        </x14:dataValidation>
        <x14:dataValidation type="list" allowBlank="1" showInputMessage="1" showErrorMessage="1" xr:uid="{51A97CFD-B922-498E-996C-6141789E8E5F}">
          <x14:formula1>
            <xm:f>REF!$A$101:$A$104</xm:f>
          </x14:formula1>
          <xm:sqref>L4:L71</xm:sqref>
        </x14:dataValidation>
        <x14:dataValidation type="list" allowBlank="1" showInputMessage="1" showErrorMessage="1" xr:uid="{92A52FB0-DBE8-4C95-B601-5C2F857B58EF}">
          <x14:formula1>
            <xm:f>REF!$A$17:$A$47</xm:f>
          </x14:formula1>
          <xm:sqref>E4:E71</xm:sqref>
        </x14:dataValidation>
        <x14:dataValidation type="list" allowBlank="1" showInputMessage="1" showErrorMessage="1" xr:uid="{30E94293-E512-4925-8D22-D40F1C6A3DBB}">
          <x14:formula1>
            <xm:f>REF!$A$59:$A$90</xm:f>
          </x14:formula1>
          <xm:sqref>I4:I71</xm:sqref>
        </x14:dataValidation>
        <x14:dataValidation type="list" allowBlank="1" showInputMessage="1" showErrorMessage="1" xr:uid="{16B6CE25-C8A9-4DEC-98F1-D544460E3E07}">
          <x14:formula1>
            <xm:f>REF!$A$148:$A$403</xm:f>
          </x14:formula1>
          <xm:sqref>M4:M71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9"/>
  <sheetViews>
    <sheetView tabSelected="1" topLeftCell="A923" workbookViewId="0">
      <selection activeCell="E951" sqref="E951"/>
    </sheetView>
  </sheetViews>
  <sheetFormatPr defaultRowHeight="15" x14ac:dyDescent="0.25"/>
  <cols>
    <col min="3" max="3" width="16.85546875" customWidth="1"/>
    <col min="4" max="4" width="40.5703125" bestFit="1" customWidth="1"/>
    <col min="5" max="5" width="17.42578125" bestFit="1" customWidth="1"/>
    <col min="6" max="6" width="14.28515625" customWidth="1"/>
    <col min="7" max="7" width="21.85546875" customWidth="1"/>
    <col min="8" max="8" width="15.28515625" bestFit="1" customWidth="1"/>
    <col min="9" max="9" width="15.5703125" customWidth="1"/>
    <col min="10" max="10" width="15.28515625" bestFit="1" customWidth="1"/>
    <col min="12" max="12" width="15.425781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18</v>
      </c>
      <c r="B1" t="s">
        <v>37</v>
      </c>
      <c r="C1" t="s">
        <v>96</v>
      </c>
      <c r="D1" t="s">
        <v>27</v>
      </c>
      <c r="E1" t="s">
        <v>97</v>
      </c>
      <c r="F1" t="s">
        <v>19</v>
      </c>
      <c r="G1" t="s">
        <v>98</v>
      </c>
      <c r="H1" t="s">
        <v>20</v>
      </c>
      <c r="I1" t="s">
        <v>21</v>
      </c>
      <c r="J1" t="s">
        <v>22</v>
      </c>
      <c r="K1" t="s">
        <v>25</v>
      </c>
      <c r="L1" t="s">
        <v>23</v>
      </c>
      <c r="M1" t="s">
        <v>24</v>
      </c>
      <c r="N1" t="s">
        <v>26</v>
      </c>
    </row>
    <row r="2" spans="1:14" x14ac:dyDescent="0.25">
      <c r="A2" s="28">
        <v>1</v>
      </c>
      <c r="B2" t="s">
        <v>28</v>
      </c>
      <c r="C2" s="1" t="s">
        <v>29</v>
      </c>
      <c r="D2" t="s">
        <v>1211</v>
      </c>
      <c r="E2" t="s">
        <v>569</v>
      </c>
      <c r="F2" s="31">
        <v>3752.7</v>
      </c>
      <c r="G2" s="17">
        <v>12</v>
      </c>
      <c r="H2" s="31">
        <v>450.45</v>
      </c>
      <c r="I2" s="31">
        <f>G2*F2-H2</f>
        <v>44581.95</v>
      </c>
      <c r="J2" s="16">
        <f>11/12*I2</f>
        <v>40866.787499999999</v>
      </c>
      <c r="K2">
        <v>12</v>
      </c>
      <c r="L2" s="16">
        <f>J2*K2/100</f>
        <v>4904.0144999999993</v>
      </c>
      <c r="M2">
        <v>0</v>
      </c>
      <c r="N2" s="16">
        <f>M2*J2/100</f>
        <v>0</v>
      </c>
    </row>
    <row r="3" spans="1:14" x14ac:dyDescent="0.25">
      <c r="A3" s="28">
        <v>1</v>
      </c>
      <c r="B3" t="s">
        <v>28</v>
      </c>
      <c r="C3" s="1" t="s">
        <v>29</v>
      </c>
      <c r="D3" t="s">
        <v>1212</v>
      </c>
      <c r="E3" t="s">
        <v>569</v>
      </c>
      <c r="F3" s="31">
        <v>1503.12</v>
      </c>
      <c r="G3" s="17">
        <v>24</v>
      </c>
      <c r="H3" s="31">
        <v>361.26</v>
      </c>
      <c r="I3" s="31">
        <f t="shared" ref="I3:I66" si="0">G3*F3-H3</f>
        <v>35713.619999999995</v>
      </c>
      <c r="J3" s="16">
        <f t="shared" ref="J3:J66" si="1">11/12*I3</f>
        <v>32737.484999999993</v>
      </c>
      <c r="K3">
        <v>12</v>
      </c>
      <c r="L3" s="16">
        <f t="shared" ref="L3:L66" si="2">J3*K3/100</f>
        <v>3928.4981999999995</v>
      </c>
      <c r="M3">
        <v>0</v>
      </c>
      <c r="N3" s="16">
        <f t="shared" ref="N3:N66" si="3">M3*J3/100</f>
        <v>0</v>
      </c>
    </row>
    <row r="4" spans="1:14" x14ac:dyDescent="0.25">
      <c r="A4" s="28">
        <v>1</v>
      </c>
      <c r="B4" t="s">
        <v>28</v>
      </c>
      <c r="C4" s="1" t="s">
        <v>29</v>
      </c>
      <c r="D4" t="s">
        <v>1213</v>
      </c>
      <c r="E4" t="s">
        <v>569</v>
      </c>
      <c r="F4" s="31">
        <v>1503.12</v>
      </c>
      <c r="G4" s="17">
        <v>24</v>
      </c>
      <c r="H4" s="31">
        <v>361.26</v>
      </c>
      <c r="I4" s="31">
        <f t="shared" si="0"/>
        <v>35713.619999999995</v>
      </c>
      <c r="J4" s="16">
        <f t="shared" si="1"/>
        <v>32737.484999999993</v>
      </c>
      <c r="K4">
        <v>12</v>
      </c>
      <c r="L4" s="16">
        <f t="shared" si="2"/>
        <v>3928.4981999999995</v>
      </c>
      <c r="M4">
        <v>0</v>
      </c>
      <c r="N4" s="16">
        <f t="shared" si="3"/>
        <v>0</v>
      </c>
    </row>
    <row r="5" spans="1:14" x14ac:dyDescent="0.25">
      <c r="A5" s="28">
        <v>1</v>
      </c>
      <c r="B5" t="s">
        <v>28</v>
      </c>
      <c r="C5" s="1" t="s">
        <v>29</v>
      </c>
      <c r="D5" t="s">
        <v>1214</v>
      </c>
      <c r="E5" t="s">
        <v>569</v>
      </c>
      <c r="F5" s="31">
        <v>2190.17</v>
      </c>
      <c r="G5" s="17">
        <v>24</v>
      </c>
      <c r="H5" s="31">
        <v>526.13</v>
      </c>
      <c r="I5" s="31">
        <f t="shared" si="0"/>
        <v>52037.950000000004</v>
      </c>
      <c r="J5" s="16">
        <f t="shared" si="1"/>
        <v>47701.45416666667</v>
      </c>
      <c r="K5">
        <v>12</v>
      </c>
      <c r="L5" s="16">
        <f t="shared" si="2"/>
        <v>5724.174500000001</v>
      </c>
      <c r="M5">
        <v>0</v>
      </c>
      <c r="N5" s="16">
        <f t="shared" si="3"/>
        <v>0</v>
      </c>
    </row>
    <row r="6" spans="1:14" x14ac:dyDescent="0.25">
      <c r="A6" s="28">
        <v>1</v>
      </c>
      <c r="B6" t="s">
        <v>28</v>
      </c>
      <c r="C6" s="1" t="s">
        <v>29</v>
      </c>
      <c r="D6" t="s">
        <v>1215</v>
      </c>
      <c r="E6" t="s">
        <v>569</v>
      </c>
      <c r="F6" s="31">
        <v>1503.1</v>
      </c>
      <c r="G6" s="17">
        <v>36</v>
      </c>
      <c r="H6" s="31">
        <v>541.44000000000005</v>
      </c>
      <c r="I6" s="31">
        <f t="shared" si="0"/>
        <v>53570.159999999996</v>
      </c>
      <c r="J6" s="16">
        <f t="shared" si="1"/>
        <v>49105.979999999996</v>
      </c>
      <c r="K6">
        <v>12</v>
      </c>
      <c r="L6" s="16">
        <f t="shared" si="2"/>
        <v>5892.7175999999999</v>
      </c>
      <c r="M6">
        <v>0</v>
      </c>
      <c r="N6" s="16">
        <f t="shared" si="3"/>
        <v>0</v>
      </c>
    </row>
    <row r="7" spans="1:14" x14ac:dyDescent="0.25">
      <c r="A7" s="28">
        <v>1</v>
      </c>
      <c r="B7" t="s">
        <v>28</v>
      </c>
      <c r="C7" s="1" t="s">
        <v>29</v>
      </c>
      <c r="D7" t="s">
        <v>1216</v>
      </c>
      <c r="E7" t="s">
        <v>569</v>
      </c>
      <c r="F7" s="31">
        <v>7411.11</v>
      </c>
      <c r="G7" s="17">
        <v>6</v>
      </c>
      <c r="H7" s="31">
        <v>445.05</v>
      </c>
      <c r="I7" s="31">
        <f t="shared" si="0"/>
        <v>44021.609999999993</v>
      </c>
      <c r="J7" s="16">
        <f t="shared" si="1"/>
        <v>40353.142499999994</v>
      </c>
      <c r="K7">
        <v>12</v>
      </c>
      <c r="L7" s="16">
        <f t="shared" si="2"/>
        <v>4842.3770999999997</v>
      </c>
      <c r="M7">
        <v>0</v>
      </c>
      <c r="N7" s="16">
        <f t="shared" si="3"/>
        <v>0</v>
      </c>
    </row>
    <row r="8" spans="1:14" x14ac:dyDescent="0.25">
      <c r="A8" s="28">
        <v>1</v>
      </c>
      <c r="B8" t="s">
        <v>28</v>
      </c>
      <c r="C8" s="1" t="s">
        <v>29</v>
      </c>
      <c r="D8" t="s">
        <v>1217</v>
      </c>
      <c r="E8" t="s">
        <v>569</v>
      </c>
      <c r="F8" s="31">
        <v>7411.11</v>
      </c>
      <c r="G8" s="17">
        <v>6</v>
      </c>
      <c r="H8" s="31">
        <v>445.05</v>
      </c>
      <c r="I8" s="31">
        <f t="shared" si="0"/>
        <v>44021.609999999993</v>
      </c>
      <c r="J8" s="16">
        <f t="shared" si="1"/>
        <v>40353.142499999994</v>
      </c>
      <c r="K8">
        <v>12</v>
      </c>
      <c r="L8" s="16">
        <f t="shared" si="2"/>
        <v>4842.3770999999997</v>
      </c>
      <c r="M8">
        <v>0</v>
      </c>
      <c r="N8" s="16">
        <f t="shared" si="3"/>
        <v>0</v>
      </c>
    </row>
    <row r="9" spans="1:14" x14ac:dyDescent="0.25">
      <c r="A9" s="28">
        <v>1</v>
      </c>
      <c r="B9" t="s">
        <v>28</v>
      </c>
      <c r="C9" s="1" t="s">
        <v>29</v>
      </c>
      <c r="D9" t="s">
        <v>1218</v>
      </c>
      <c r="E9" t="s">
        <v>569</v>
      </c>
      <c r="F9" s="31">
        <v>7411.11</v>
      </c>
      <c r="G9" s="17">
        <v>6</v>
      </c>
      <c r="H9" s="31">
        <v>445.05</v>
      </c>
      <c r="I9" s="31">
        <f t="shared" si="0"/>
        <v>44021.609999999993</v>
      </c>
      <c r="J9" s="16">
        <f t="shared" si="1"/>
        <v>40353.142499999994</v>
      </c>
      <c r="K9">
        <v>12</v>
      </c>
      <c r="L9" s="16">
        <f t="shared" si="2"/>
        <v>4842.3770999999997</v>
      </c>
      <c r="M9">
        <v>0</v>
      </c>
      <c r="N9" s="16">
        <f t="shared" si="3"/>
        <v>0</v>
      </c>
    </row>
    <row r="10" spans="1:14" x14ac:dyDescent="0.25">
      <c r="A10" s="28">
        <v>1</v>
      </c>
      <c r="B10" t="s">
        <v>28</v>
      </c>
      <c r="C10" s="1" t="s">
        <v>29</v>
      </c>
      <c r="D10" t="s">
        <v>1219</v>
      </c>
      <c r="E10" t="s">
        <v>569</v>
      </c>
      <c r="F10" s="31">
        <v>7636.04</v>
      </c>
      <c r="G10" s="17">
        <v>6</v>
      </c>
      <c r="H10" s="31">
        <v>457.66</v>
      </c>
      <c r="I10" s="31">
        <f t="shared" si="0"/>
        <v>45358.579999999994</v>
      </c>
      <c r="J10" s="16">
        <f t="shared" si="1"/>
        <v>41578.698333333326</v>
      </c>
      <c r="K10">
        <v>12</v>
      </c>
      <c r="L10" s="16">
        <f t="shared" si="2"/>
        <v>4989.4437999999991</v>
      </c>
      <c r="M10">
        <v>0</v>
      </c>
      <c r="N10" s="16">
        <f t="shared" si="3"/>
        <v>0</v>
      </c>
    </row>
    <row r="11" spans="1:14" x14ac:dyDescent="0.25">
      <c r="A11" s="28">
        <v>1</v>
      </c>
      <c r="B11" t="s">
        <v>28</v>
      </c>
      <c r="C11" s="1" t="s">
        <v>29</v>
      </c>
      <c r="D11" t="s">
        <v>1220</v>
      </c>
      <c r="E11" t="s">
        <v>569</v>
      </c>
      <c r="F11" s="31">
        <v>7411.11</v>
      </c>
      <c r="G11" s="17">
        <v>3</v>
      </c>
      <c r="H11" s="31">
        <v>221.62</v>
      </c>
      <c r="I11" s="31">
        <f t="shared" si="0"/>
        <v>22011.71</v>
      </c>
      <c r="J11" s="16">
        <f t="shared" si="1"/>
        <v>20177.400833333333</v>
      </c>
      <c r="K11">
        <v>12</v>
      </c>
      <c r="L11" s="16">
        <f t="shared" si="2"/>
        <v>2421.2880999999998</v>
      </c>
      <c r="M11">
        <v>0</v>
      </c>
      <c r="N11" s="16">
        <f t="shared" si="3"/>
        <v>0</v>
      </c>
    </row>
    <row r="12" spans="1:14" x14ac:dyDescent="0.25">
      <c r="A12" s="28">
        <v>1</v>
      </c>
      <c r="B12" t="s">
        <v>28</v>
      </c>
      <c r="C12" s="1" t="s">
        <v>29</v>
      </c>
      <c r="D12" t="s">
        <v>1221</v>
      </c>
      <c r="E12" t="s">
        <v>569</v>
      </c>
      <c r="F12" s="31">
        <v>7411.11</v>
      </c>
      <c r="G12" s="17">
        <v>6</v>
      </c>
      <c r="H12" s="31">
        <v>445.05</v>
      </c>
      <c r="I12" s="31">
        <f t="shared" si="0"/>
        <v>44021.609999999993</v>
      </c>
      <c r="J12" s="16">
        <f t="shared" si="1"/>
        <v>40353.142499999994</v>
      </c>
      <c r="K12">
        <v>12</v>
      </c>
      <c r="L12" s="16">
        <f t="shared" si="2"/>
        <v>4842.3770999999997</v>
      </c>
      <c r="M12">
        <v>0</v>
      </c>
      <c r="N12" s="16">
        <f t="shared" si="3"/>
        <v>0</v>
      </c>
    </row>
    <row r="13" spans="1:14" x14ac:dyDescent="0.25">
      <c r="A13" s="28">
        <v>1</v>
      </c>
      <c r="B13" t="s">
        <v>28</v>
      </c>
      <c r="C13" s="1" t="s">
        <v>29</v>
      </c>
      <c r="D13" t="s">
        <v>1222</v>
      </c>
      <c r="E13" t="s">
        <v>569</v>
      </c>
      <c r="F13" s="31">
        <v>7411.11</v>
      </c>
      <c r="G13" s="17">
        <v>6</v>
      </c>
      <c r="H13" s="31">
        <v>445.05</v>
      </c>
      <c r="I13" s="31">
        <f t="shared" si="0"/>
        <v>44021.609999999993</v>
      </c>
      <c r="J13" s="16">
        <f t="shared" si="1"/>
        <v>40353.142499999994</v>
      </c>
      <c r="K13">
        <v>12</v>
      </c>
      <c r="L13" s="16">
        <f t="shared" si="2"/>
        <v>4842.3770999999997</v>
      </c>
      <c r="M13">
        <v>0</v>
      </c>
      <c r="N13" s="16">
        <f t="shared" si="3"/>
        <v>0</v>
      </c>
    </row>
    <row r="14" spans="1:14" x14ac:dyDescent="0.25">
      <c r="A14" s="28">
        <v>1</v>
      </c>
      <c r="B14" t="s">
        <v>28</v>
      </c>
      <c r="C14" s="1" t="s">
        <v>29</v>
      </c>
      <c r="D14" t="s">
        <v>1223</v>
      </c>
      <c r="E14" t="s">
        <v>569</v>
      </c>
      <c r="F14" s="31">
        <v>7411.11</v>
      </c>
      <c r="G14" s="17">
        <v>6</v>
      </c>
      <c r="H14" s="31">
        <v>445.05</v>
      </c>
      <c r="I14" s="31">
        <f t="shared" si="0"/>
        <v>44021.609999999993</v>
      </c>
      <c r="J14" s="16">
        <f t="shared" si="1"/>
        <v>40353.142499999994</v>
      </c>
      <c r="K14">
        <v>12</v>
      </c>
      <c r="L14" s="16">
        <f t="shared" si="2"/>
        <v>4842.3770999999997</v>
      </c>
      <c r="M14">
        <v>0</v>
      </c>
      <c r="N14" s="16">
        <f t="shared" si="3"/>
        <v>0</v>
      </c>
    </row>
    <row r="15" spans="1:14" x14ac:dyDescent="0.25">
      <c r="A15" s="28">
        <v>1</v>
      </c>
      <c r="B15" t="s">
        <v>28</v>
      </c>
      <c r="C15" s="1" t="s">
        <v>29</v>
      </c>
      <c r="D15" t="s">
        <v>1224</v>
      </c>
      <c r="E15" t="s">
        <v>569</v>
      </c>
      <c r="F15" s="31">
        <v>4571.62</v>
      </c>
      <c r="G15" s="17">
        <v>24</v>
      </c>
      <c r="H15" s="31">
        <v>1097.3</v>
      </c>
      <c r="I15" s="31">
        <f t="shared" si="0"/>
        <v>108621.58</v>
      </c>
      <c r="J15" s="16">
        <f t="shared" si="1"/>
        <v>99569.781666666662</v>
      </c>
      <c r="K15">
        <v>12</v>
      </c>
      <c r="L15" s="16">
        <f t="shared" si="2"/>
        <v>11948.373799999999</v>
      </c>
      <c r="M15">
        <v>0</v>
      </c>
      <c r="N15" s="16">
        <f t="shared" si="3"/>
        <v>0</v>
      </c>
    </row>
    <row r="16" spans="1:14" x14ac:dyDescent="0.25">
      <c r="A16" s="28">
        <v>1</v>
      </c>
      <c r="B16" t="s">
        <v>28</v>
      </c>
      <c r="C16" s="1" t="s">
        <v>29</v>
      </c>
      <c r="D16" t="s">
        <v>1225</v>
      </c>
      <c r="E16" t="s">
        <v>569</v>
      </c>
      <c r="F16" s="31">
        <v>7636.04</v>
      </c>
      <c r="G16" s="17">
        <v>6</v>
      </c>
      <c r="H16" s="31">
        <v>457.66</v>
      </c>
      <c r="I16" s="31">
        <f t="shared" si="0"/>
        <v>45358.579999999994</v>
      </c>
      <c r="J16" s="16">
        <f t="shared" si="1"/>
        <v>41578.698333333326</v>
      </c>
      <c r="K16">
        <v>12</v>
      </c>
      <c r="L16" s="16">
        <f t="shared" si="2"/>
        <v>4989.4437999999991</v>
      </c>
      <c r="M16">
        <v>0</v>
      </c>
      <c r="N16" s="16">
        <f t="shared" si="3"/>
        <v>0</v>
      </c>
    </row>
    <row r="17" spans="1:14" x14ac:dyDescent="0.25">
      <c r="A17" s="28">
        <v>1</v>
      </c>
      <c r="B17" t="s">
        <v>28</v>
      </c>
      <c r="C17" s="1" t="s">
        <v>29</v>
      </c>
      <c r="D17" t="s">
        <v>1226</v>
      </c>
      <c r="E17" t="s">
        <v>569</v>
      </c>
      <c r="F17" s="31">
        <v>7411.11</v>
      </c>
      <c r="G17" s="17">
        <v>6</v>
      </c>
      <c r="H17" s="31">
        <v>445.05</v>
      </c>
      <c r="I17" s="31">
        <f t="shared" si="0"/>
        <v>44021.609999999993</v>
      </c>
      <c r="J17" s="16">
        <f t="shared" si="1"/>
        <v>40353.142499999994</v>
      </c>
      <c r="K17">
        <v>12</v>
      </c>
      <c r="L17" s="16">
        <f t="shared" si="2"/>
        <v>4842.3770999999997</v>
      </c>
      <c r="M17">
        <v>0</v>
      </c>
      <c r="N17" s="16">
        <f t="shared" si="3"/>
        <v>0</v>
      </c>
    </row>
    <row r="18" spans="1:14" x14ac:dyDescent="0.25">
      <c r="A18" s="28">
        <v>1</v>
      </c>
      <c r="B18" t="s">
        <v>28</v>
      </c>
      <c r="C18" s="1" t="s">
        <v>29</v>
      </c>
      <c r="D18" t="s">
        <v>1227</v>
      </c>
      <c r="E18" t="s">
        <v>569</v>
      </c>
      <c r="F18" s="31">
        <v>7411.11</v>
      </c>
      <c r="G18" s="17">
        <v>6</v>
      </c>
      <c r="H18" s="31">
        <v>445.05</v>
      </c>
      <c r="I18" s="31">
        <f t="shared" si="0"/>
        <v>44021.609999999993</v>
      </c>
      <c r="J18" s="16">
        <f t="shared" si="1"/>
        <v>40353.142499999994</v>
      </c>
      <c r="K18">
        <v>12</v>
      </c>
      <c r="L18" s="16">
        <f t="shared" si="2"/>
        <v>4842.3770999999997</v>
      </c>
      <c r="M18">
        <v>0</v>
      </c>
      <c r="N18" s="16">
        <f t="shared" si="3"/>
        <v>0</v>
      </c>
    </row>
    <row r="19" spans="1:14" x14ac:dyDescent="0.25">
      <c r="A19" s="28">
        <v>1</v>
      </c>
      <c r="B19" t="s">
        <v>28</v>
      </c>
      <c r="C19" s="1" t="s">
        <v>29</v>
      </c>
      <c r="D19" t="s">
        <v>1228</v>
      </c>
      <c r="E19" t="s">
        <v>569</v>
      </c>
      <c r="F19" s="31">
        <v>7250.17</v>
      </c>
      <c r="G19" s="17">
        <v>3</v>
      </c>
      <c r="H19" s="31">
        <v>218.02</v>
      </c>
      <c r="I19" s="31">
        <f t="shared" si="0"/>
        <v>21532.49</v>
      </c>
      <c r="J19" s="16">
        <f t="shared" si="1"/>
        <v>19738.115833333333</v>
      </c>
      <c r="K19">
        <v>12</v>
      </c>
      <c r="L19" s="16">
        <f t="shared" si="2"/>
        <v>2368.5739000000003</v>
      </c>
      <c r="M19">
        <v>0</v>
      </c>
      <c r="N19" s="16">
        <f t="shared" si="3"/>
        <v>0</v>
      </c>
    </row>
    <row r="20" spans="1:14" x14ac:dyDescent="0.25">
      <c r="A20" s="28">
        <v>1</v>
      </c>
      <c r="B20" t="s">
        <v>28</v>
      </c>
      <c r="C20" s="1" t="s">
        <v>29</v>
      </c>
      <c r="D20" t="s">
        <v>1229</v>
      </c>
      <c r="E20" t="s">
        <v>569</v>
      </c>
      <c r="F20" s="31">
        <v>7250</v>
      </c>
      <c r="G20" s="17">
        <v>6</v>
      </c>
      <c r="H20" s="31">
        <v>435.14</v>
      </c>
      <c r="I20" s="31">
        <f t="shared" si="0"/>
        <v>43064.86</v>
      </c>
      <c r="J20" s="16">
        <f t="shared" si="1"/>
        <v>39476.121666666666</v>
      </c>
      <c r="K20">
        <v>12</v>
      </c>
      <c r="L20" s="16">
        <f t="shared" si="2"/>
        <v>4737.1345999999994</v>
      </c>
      <c r="M20">
        <v>0</v>
      </c>
      <c r="N20" s="16">
        <f t="shared" si="3"/>
        <v>0</v>
      </c>
    </row>
    <row r="21" spans="1:14" x14ac:dyDescent="0.25">
      <c r="A21" s="28">
        <v>1</v>
      </c>
      <c r="B21" t="s">
        <v>28</v>
      </c>
      <c r="C21" s="1" t="s">
        <v>29</v>
      </c>
      <c r="D21" t="s">
        <v>1230</v>
      </c>
      <c r="E21" t="s">
        <v>569</v>
      </c>
      <c r="F21" s="31">
        <v>7250</v>
      </c>
      <c r="G21" s="17">
        <v>6</v>
      </c>
      <c r="H21" s="31">
        <v>435.14</v>
      </c>
      <c r="I21" s="31">
        <f t="shared" si="0"/>
        <v>43064.86</v>
      </c>
      <c r="J21" s="16">
        <f t="shared" si="1"/>
        <v>39476.121666666666</v>
      </c>
      <c r="K21">
        <v>12</v>
      </c>
      <c r="L21" s="16">
        <f t="shared" si="2"/>
        <v>4737.1345999999994</v>
      </c>
      <c r="M21">
        <v>0</v>
      </c>
      <c r="N21" s="16">
        <f t="shared" si="3"/>
        <v>0</v>
      </c>
    </row>
    <row r="22" spans="1:14" x14ac:dyDescent="0.25">
      <c r="A22" s="28">
        <v>2</v>
      </c>
      <c r="B22" t="s">
        <v>28</v>
      </c>
      <c r="C22" s="1" t="s">
        <v>29</v>
      </c>
      <c r="D22" t="s">
        <v>1231</v>
      </c>
      <c r="E22" t="s">
        <v>569</v>
      </c>
      <c r="F22" s="31">
        <v>1503.11</v>
      </c>
      <c r="G22" s="17">
        <v>2880</v>
      </c>
      <c r="H22" s="31">
        <v>129869.37</v>
      </c>
      <c r="I22" s="31">
        <f t="shared" si="0"/>
        <v>4199087.43</v>
      </c>
      <c r="J22" s="16">
        <f t="shared" si="1"/>
        <v>3849163.4774999996</v>
      </c>
      <c r="K22">
        <v>12</v>
      </c>
      <c r="L22" s="16">
        <f t="shared" si="2"/>
        <v>461899.61729999998</v>
      </c>
      <c r="M22">
        <v>0</v>
      </c>
      <c r="N22" s="16">
        <f t="shared" si="3"/>
        <v>0</v>
      </c>
    </row>
    <row r="23" spans="1:14" x14ac:dyDescent="0.25">
      <c r="A23" s="28">
        <v>3</v>
      </c>
      <c r="B23" t="s">
        <v>28</v>
      </c>
      <c r="C23" s="1" t="s">
        <v>29</v>
      </c>
      <c r="D23" t="s">
        <v>1232</v>
      </c>
      <c r="E23" t="s">
        <v>569</v>
      </c>
      <c r="F23" s="31">
        <v>3104.5</v>
      </c>
      <c r="G23" s="17">
        <v>12</v>
      </c>
      <c r="H23" s="31">
        <v>1118.02</v>
      </c>
      <c r="I23" s="31">
        <f t="shared" si="0"/>
        <v>36135.980000000003</v>
      </c>
      <c r="J23" s="16">
        <f t="shared" si="1"/>
        <v>33124.648333333338</v>
      </c>
      <c r="K23">
        <v>12</v>
      </c>
      <c r="L23" s="16">
        <f t="shared" si="2"/>
        <v>3974.9578000000001</v>
      </c>
      <c r="M23">
        <v>0</v>
      </c>
      <c r="N23" s="16">
        <f t="shared" si="3"/>
        <v>0</v>
      </c>
    </row>
    <row r="24" spans="1:14" x14ac:dyDescent="0.25">
      <c r="A24" s="29">
        <v>3</v>
      </c>
      <c r="B24" t="s">
        <v>28</v>
      </c>
      <c r="C24" s="1" t="s">
        <v>29</v>
      </c>
      <c r="D24" t="s">
        <v>1233</v>
      </c>
      <c r="E24" t="s">
        <v>569</v>
      </c>
      <c r="F24" s="31">
        <v>3104.5</v>
      </c>
      <c r="G24" s="17">
        <v>12</v>
      </c>
      <c r="H24" s="31">
        <v>1118.02</v>
      </c>
      <c r="I24" s="31">
        <f t="shared" si="0"/>
        <v>36135.980000000003</v>
      </c>
      <c r="J24" s="16">
        <f t="shared" si="1"/>
        <v>33124.648333333338</v>
      </c>
      <c r="K24">
        <v>12</v>
      </c>
      <c r="L24" s="16">
        <f t="shared" si="2"/>
        <v>3974.9578000000001</v>
      </c>
      <c r="M24">
        <v>0</v>
      </c>
      <c r="N24" s="16">
        <f t="shared" si="3"/>
        <v>0</v>
      </c>
    </row>
    <row r="25" spans="1:14" x14ac:dyDescent="0.25">
      <c r="A25" s="29">
        <v>3</v>
      </c>
      <c r="B25" t="s">
        <v>28</v>
      </c>
      <c r="C25" s="1" t="s">
        <v>29</v>
      </c>
      <c r="D25" t="s">
        <v>1231</v>
      </c>
      <c r="E25" t="s">
        <v>569</v>
      </c>
      <c r="F25" s="31">
        <v>1503.11</v>
      </c>
      <c r="G25" s="17">
        <v>2880</v>
      </c>
      <c r="H25" s="31">
        <v>129869.37</v>
      </c>
      <c r="I25" s="31">
        <f t="shared" si="0"/>
        <v>4199087.43</v>
      </c>
      <c r="J25" s="16">
        <f t="shared" si="1"/>
        <v>3849163.4774999996</v>
      </c>
      <c r="K25">
        <v>12</v>
      </c>
      <c r="L25" s="16">
        <f t="shared" si="2"/>
        <v>461899.61729999998</v>
      </c>
      <c r="M25">
        <v>0</v>
      </c>
      <c r="N25" s="16">
        <f t="shared" si="3"/>
        <v>0</v>
      </c>
    </row>
    <row r="26" spans="1:14" x14ac:dyDescent="0.25">
      <c r="A26" s="29">
        <v>4</v>
      </c>
      <c r="B26" t="s">
        <v>28</v>
      </c>
      <c r="C26" s="1" t="s">
        <v>29</v>
      </c>
      <c r="D26" t="s">
        <v>1234</v>
      </c>
      <c r="E26" t="s">
        <v>569</v>
      </c>
      <c r="F26" s="31">
        <v>3752.7</v>
      </c>
      <c r="G26" s="17">
        <v>12</v>
      </c>
      <c r="H26" s="31">
        <v>1351.35</v>
      </c>
      <c r="I26" s="31">
        <f t="shared" si="0"/>
        <v>43681.049999999996</v>
      </c>
      <c r="J26" s="16">
        <f t="shared" si="1"/>
        <v>40040.962499999994</v>
      </c>
      <c r="K26">
        <v>12</v>
      </c>
      <c r="L26" s="16">
        <f t="shared" si="2"/>
        <v>4804.9154999999992</v>
      </c>
      <c r="M26">
        <v>0</v>
      </c>
      <c r="N26" s="16">
        <f t="shared" si="3"/>
        <v>0</v>
      </c>
    </row>
    <row r="27" spans="1:14" x14ac:dyDescent="0.25">
      <c r="A27" s="29">
        <v>4</v>
      </c>
      <c r="B27" t="s">
        <v>28</v>
      </c>
      <c r="C27" s="1" t="s">
        <v>29</v>
      </c>
      <c r="D27" t="s">
        <v>1235</v>
      </c>
      <c r="E27" t="s">
        <v>569</v>
      </c>
      <c r="F27" s="31">
        <v>3752.74</v>
      </c>
      <c r="G27" s="17">
        <v>24</v>
      </c>
      <c r="H27" s="31">
        <v>2701.8</v>
      </c>
      <c r="I27" s="31">
        <f t="shared" si="0"/>
        <v>87363.959999999992</v>
      </c>
      <c r="J27" s="16">
        <f t="shared" si="1"/>
        <v>80083.62999999999</v>
      </c>
      <c r="K27">
        <v>12</v>
      </c>
      <c r="L27" s="16">
        <f t="shared" si="2"/>
        <v>9610.0355999999974</v>
      </c>
      <c r="M27">
        <v>0</v>
      </c>
      <c r="N27" s="16">
        <f t="shared" si="3"/>
        <v>0</v>
      </c>
    </row>
    <row r="28" spans="1:14" x14ac:dyDescent="0.25">
      <c r="A28" s="29">
        <v>4</v>
      </c>
      <c r="B28" t="s">
        <v>28</v>
      </c>
      <c r="C28" s="1" t="s">
        <v>29</v>
      </c>
      <c r="D28" t="s">
        <v>1211</v>
      </c>
      <c r="E28" t="s">
        <v>569</v>
      </c>
      <c r="F28" s="31">
        <v>3752.74</v>
      </c>
      <c r="G28" s="17">
        <v>24</v>
      </c>
      <c r="H28" s="31">
        <v>2701.8</v>
      </c>
      <c r="I28" s="31">
        <f t="shared" si="0"/>
        <v>87363.959999999992</v>
      </c>
      <c r="J28" s="16">
        <f t="shared" si="1"/>
        <v>80083.62999999999</v>
      </c>
      <c r="K28">
        <v>12</v>
      </c>
      <c r="L28" s="16">
        <f t="shared" si="2"/>
        <v>9610.0355999999974</v>
      </c>
      <c r="M28">
        <v>0</v>
      </c>
      <c r="N28" s="16">
        <f t="shared" si="3"/>
        <v>0</v>
      </c>
    </row>
    <row r="29" spans="1:14" x14ac:dyDescent="0.25">
      <c r="A29" s="29">
        <v>4</v>
      </c>
      <c r="B29" t="s">
        <v>28</v>
      </c>
      <c r="C29" s="1" t="s">
        <v>29</v>
      </c>
      <c r="D29" t="s">
        <v>1236</v>
      </c>
      <c r="E29" t="s">
        <v>569</v>
      </c>
      <c r="F29" s="31">
        <v>3966.67</v>
      </c>
      <c r="G29" s="17">
        <v>6</v>
      </c>
      <c r="H29" s="31">
        <v>714.41</v>
      </c>
      <c r="I29" s="31">
        <f t="shared" si="0"/>
        <v>23085.61</v>
      </c>
      <c r="J29" s="16">
        <f t="shared" si="1"/>
        <v>21161.809166666666</v>
      </c>
      <c r="K29">
        <v>12</v>
      </c>
      <c r="L29" s="16">
        <f t="shared" si="2"/>
        <v>2539.4171000000001</v>
      </c>
      <c r="M29">
        <v>0</v>
      </c>
      <c r="N29" s="16">
        <f t="shared" si="3"/>
        <v>0</v>
      </c>
    </row>
    <row r="30" spans="1:14" x14ac:dyDescent="0.25">
      <c r="A30" s="29">
        <v>4</v>
      </c>
      <c r="B30" t="s">
        <v>28</v>
      </c>
      <c r="C30" s="1" t="s">
        <v>29</v>
      </c>
      <c r="D30" t="s">
        <v>1237</v>
      </c>
      <c r="E30" t="s">
        <v>569</v>
      </c>
      <c r="F30" s="31">
        <v>3966.67</v>
      </c>
      <c r="G30" s="17">
        <v>12</v>
      </c>
      <c r="H30" s="31">
        <v>1427.93</v>
      </c>
      <c r="I30" s="31">
        <f t="shared" si="0"/>
        <v>46172.11</v>
      </c>
      <c r="J30" s="16">
        <f t="shared" si="1"/>
        <v>42324.434166666666</v>
      </c>
      <c r="K30">
        <v>12</v>
      </c>
      <c r="L30" s="16">
        <f t="shared" si="2"/>
        <v>5078.9321</v>
      </c>
      <c r="M30">
        <v>0</v>
      </c>
      <c r="N30" s="16">
        <f t="shared" si="3"/>
        <v>0</v>
      </c>
    </row>
    <row r="31" spans="1:14" x14ac:dyDescent="0.25">
      <c r="A31" s="29">
        <v>4</v>
      </c>
      <c r="B31" t="s">
        <v>28</v>
      </c>
      <c r="C31" s="1" t="s">
        <v>29</v>
      </c>
      <c r="D31" t="s">
        <v>1238</v>
      </c>
      <c r="E31" t="s">
        <v>569</v>
      </c>
      <c r="F31" s="31">
        <v>956.17</v>
      </c>
      <c r="G31" s="17">
        <v>250</v>
      </c>
      <c r="H31" s="31">
        <v>7171.17</v>
      </c>
      <c r="I31" s="31">
        <f t="shared" si="0"/>
        <v>231871.33</v>
      </c>
      <c r="J31" s="16">
        <f t="shared" si="1"/>
        <v>212548.71916666665</v>
      </c>
      <c r="K31">
        <v>12</v>
      </c>
      <c r="L31" s="16">
        <f t="shared" si="2"/>
        <v>25505.846299999997</v>
      </c>
      <c r="M31">
        <v>0</v>
      </c>
      <c r="N31" s="16">
        <f t="shared" si="3"/>
        <v>0</v>
      </c>
    </row>
    <row r="32" spans="1:14" x14ac:dyDescent="0.25">
      <c r="A32" s="29">
        <v>4</v>
      </c>
      <c r="B32" t="s">
        <v>28</v>
      </c>
      <c r="C32" s="1" t="s">
        <v>29</v>
      </c>
      <c r="D32" t="s">
        <v>1239</v>
      </c>
      <c r="E32" t="s">
        <v>569</v>
      </c>
      <c r="F32" s="31">
        <v>956.17</v>
      </c>
      <c r="G32" s="17">
        <v>750</v>
      </c>
      <c r="H32" s="31">
        <v>21514.41</v>
      </c>
      <c r="I32" s="31">
        <f t="shared" si="0"/>
        <v>695613.09</v>
      </c>
      <c r="J32" s="16">
        <f t="shared" si="1"/>
        <v>637645.3324999999</v>
      </c>
      <c r="K32">
        <v>12</v>
      </c>
      <c r="L32" s="16">
        <f t="shared" si="2"/>
        <v>76517.439899999983</v>
      </c>
      <c r="M32">
        <v>0</v>
      </c>
      <c r="N32" s="16">
        <f t="shared" si="3"/>
        <v>0</v>
      </c>
    </row>
    <row r="33" spans="1:14" x14ac:dyDescent="0.25">
      <c r="A33" s="29">
        <v>4</v>
      </c>
      <c r="B33" t="s">
        <v>28</v>
      </c>
      <c r="C33" s="1" t="s">
        <v>29</v>
      </c>
      <c r="D33" t="s">
        <v>1240</v>
      </c>
      <c r="E33" t="s">
        <v>569</v>
      </c>
      <c r="F33" s="31">
        <v>956.17</v>
      </c>
      <c r="G33" s="17">
        <v>250</v>
      </c>
      <c r="H33" s="31">
        <v>7171.17</v>
      </c>
      <c r="I33" s="31">
        <f t="shared" si="0"/>
        <v>231871.33</v>
      </c>
      <c r="J33" s="16">
        <f t="shared" si="1"/>
        <v>212548.71916666665</v>
      </c>
      <c r="K33">
        <v>12</v>
      </c>
      <c r="L33" s="16">
        <f t="shared" si="2"/>
        <v>25505.846299999997</v>
      </c>
      <c r="M33">
        <v>0</v>
      </c>
      <c r="N33" s="16">
        <f t="shared" si="3"/>
        <v>0</v>
      </c>
    </row>
    <row r="34" spans="1:14" x14ac:dyDescent="0.25">
      <c r="A34" s="29">
        <v>4</v>
      </c>
      <c r="B34" t="s">
        <v>28</v>
      </c>
      <c r="C34" s="1" t="s">
        <v>29</v>
      </c>
      <c r="D34" t="s">
        <v>1241</v>
      </c>
      <c r="E34" t="s">
        <v>569</v>
      </c>
      <c r="F34" s="31">
        <v>956.17</v>
      </c>
      <c r="G34" s="17">
        <v>250</v>
      </c>
      <c r="H34" s="31">
        <v>7171.17</v>
      </c>
      <c r="I34" s="31">
        <f t="shared" si="0"/>
        <v>231871.33</v>
      </c>
      <c r="J34" s="16">
        <f t="shared" si="1"/>
        <v>212548.71916666665</v>
      </c>
      <c r="K34">
        <v>12</v>
      </c>
      <c r="L34" s="16">
        <f t="shared" si="2"/>
        <v>25505.846299999997</v>
      </c>
      <c r="M34">
        <v>0</v>
      </c>
      <c r="N34" s="16">
        <f t="shared" si="3"/>
        <v>0</v>
      </c>
    </row>
    <row r="35" spans="1:14" x14ac:dyDescent="0.25">
      <c r="A35" s="29">
        <v>4</v>
      </c>
      <c r="B35" t="s">
        <v>28</v>
      </c>
      <c r="C35" s="1" t="s">
        <v>29</v>
      </c>
      <c r="D35" t="s">
        <v>1242</v>
      </c>
      <c r="E35" t="s">
        <v>569</v>
      </c>
      <c r="F35" s="31">
        <v>956.17</v>
      </c>
      <c r="G35" s="17">
        <v>500</v>
      </c>
      <c r="H35" s="31">
        <v>14343.24</v>
      </c>
      <c r="I35" s="31">
        <f t="shared" si="0"/>
        <v>463741.76</v>
      </c>
      <c r="J35" s="16">
        <f t="shared" si="1"/>
        <v>425096.61333333334</v>
      </c>
      <c r="K35">
        <v>12</v>
      </c>
      <c r="L35" s="16">
        <f t="shared" si="2"/>
        <v>51011.5936</v>
      </c>
      <c r="M35">
        <v>0</v>
      </c>
      <c r="N35" s="16">
        <f t="shared" si="3"/>
        <v>0</v>
      </c>
    </row>
    <row r="36" spans="1:14" x14ac:dyDescent="0.25">
      <c r="A36" s="29">
        <v>4</v>
      </c>
      <c r="B36" t="s">
        <v>28</v>
      </c>
      <c r="C36" s="1" t="s">
        <v>29</v>
      </c>
      <c r="D36" t="s">
        <v>1243</v>
      </c>
      <c r="E36" t="s">
        <v>569</v>
      </c>
      <c r="F36" s="31">
        <v>956.17</v>
      </c>
      <c r="G36" s="17">
        <v>250</v>
      </c>
      <c r="H36" s="31">
        <v>7171.17</v>
      </c>
      <c r="I36" s="31">
        <f t="shared" si="0"/>
        <v>231871.33</v>
      </c>
      <c r="J36" s="16">
        <f t="shared" si="1"/>
        <v>212548.71916666665</v>
      </c>
      <c r="K36">
        <v>12</v>
      </c>
      <c r="L36" s="16">
        <f t="shared" si="2"/>
        <v>25505.846299999997</v>
      </c>
      <c r="M36">
        <v>0</v>
      </c>
      <c r="N36" s="16">
        <f t="shared" si="3"/>
        <v>0</v>
      </c>
    </row>
    <row r="37" spans="1:14" x14ac:dyDescent="0.25">
      <c r="A37" s="29">
        <v>4</v>
      </c>
      <c r="B37" t="s">
        <v>28</v>
      </c>
      <c r="C37" s="1" t="s">
        <v>29</v>
      </c>
      <c r="D37" t="s">
        <v>1244</v>
      </c>
      <c r="E37" t="s">
        <v>569</v>
      </c>
      <c r="F37" s="31">
        <v>956.17</v>
      </c>
      <c r="G37" s="17">
        <v>250</v>
      </c>
      <c r="H37" s="31">
        <v>7171.17</v>
      </c>
      <c r="I37" s="31">
        <f t="shared" si="0"/>
        <v>231871.33</v>
      </c>
      <c r="J37" s="16">
        <f t="shared" si="1"/>
        <v>212548.71916666665</v>
      </c>
      <c r="K37">
        <v>12</v>
      </c>
      <c r="L37" s="16">
        <f t="shared" si="2"/>
        <v>25505.846299999997</v>
      </c>
      <c r="M37">
        <v>0</v>
      </c>
      <c r="N37" s="16">
        <f t="shared" si="3"/>
        <v>0</v>
      </c>
    </row>
    <row r="38" spans="1:14" x14ac:dyDescent="0.25">
      <c r="A38" s="29">
        <v>4</v>
      </c>
      <c r="B38" t="s">
        <v>28</v>
      </c>
      <c r="C38" s="1" t="s">
        <v>29</v>
      </c>
      <c r="D38" t="s">
        <v>1245</v>
      </c>
      <c r="E38" t="s">
        <v>569</v>
      </c>
      <c r="F38" s="31">
        <v>956.17</v>
      </c>
      <c r="G38" s="17">
        <v>250</v>
      </c>
      <c r="H38" s="31">
        <v>7171.17</v>
      </c>
      <c r="I38" s="31">
        <f t="shared" si="0"/>
        <v>231871.33</v>
      </c>
      <c r="J38" s="16">
        <f t="shared" si="1"/>
        <v>212548.71916666665</v>
      </c>
      <c r="K38">
        <v>12</v>
      </c>
      <c r="L38" s="16">
        <f t="shared" si="2"/>
        <v>25505.846299999997</v>
      </c>
      <c r="M38">
        <v>0</v>
      </c>
      <c r="N38" s="16">
        <f t="shared" si="3"/>
        <v>0</v>
      </c>
    </row>
    <row r="39" spans="1:14" x14ac:dyDescent="0.25">
      <c r="A39" s="29">
        <v>4</v>
      </c>
      <c r="B39" t="s">
        <v>28</v>
      </c>
      <c r="C39" s="1" t="s">
        <v>29</v>
      </c>
      <c r="D39" t="s">
        <v>1246</v>
      </c>
      <c r="E39" t="s">
        <v>569</v>
      </c>
      <c r="F39" s="31">
        <v>956.17</v>
      </c>
      <c r="G39" s="17">
        <v>250</v>
      </c>
      <c r="H39" s="31">
        <v>7171.17</v>
      </c>
      <c r="I39" s="31">
        <f t="shared" si="0"/>
        <v>231871.33</v>
      </c>
      <c r="J39" s="16">
        <f t="shared" si="1"/>
        <v>212548.71916666665</v>
      </c>
      <c r="K39">
        <v>12</v>
      </c>
      <c r="L39" s="16">
        <f t="shared" si="2"/>
        <v>25505.846299999997</v>
      </c>
      <c r="M39">
        <v>0</v>
      </c>
      <c r="N39" s="16">
        <f t="shared" si="3"/>
        <v>0</v>
      </c>
    </row>
    <row r="40" spans="1:14" x14ac:dyDescent="0.25">
      <c r="A40" s="29">
        <v>4</v>
      </c>
      <c r="B40" t="s">
        <v>28</v>
      </c>
      <c r="C40" s="1" t="s">
        <v>29</v>
      </c>
      <c r="D40" t="s">
        <v>1216</v>
      </c>
      <c r="E40" t="s">
        <v>569</v>
      </c>
      <c r="F40" s="31">
        <v>7411.11</v>
      </c>
      <c r="G40" s="17">
        <v>6</v>
      </c>
      <c r="H40" s="31">
        <v>1334.23</v>
      </c>
      <c r="I40" s="31">
        <f t="shared" si="0"/>
        <v>43132.429999999993</v>
      </c>
      <c r="J40" s="16">
        <f t="shared" si="1"/>
        <v>39538.060833333322</v>
      </c>
      <c r="K40">
        <v>12</v>
      </c>
      <c r="L40" s="16">
        <f t="shared" si="2"/>
        <v>4744.5672999999988</v>
      </c>
      <c r="M40">
        <v>0</v>
      </c>
      <c r="N40" s="16">
        <f t="shared" si="3"/>
        <v>0</v>
      </c>
    </row>
    <row r="41" spans="1:14" x14ac:dyDescent="0.25">
      <c r="A41" s="29">
        <v>4</v>
      </c>
      <c r="B41" t="s">
        <v>28</v>
      </c>
      <c r="C41" s="1" t="s">
        <v>29</v>
      </c>
      <c r="D41" t="s">
        <v>1218</v>
      </c>
      <c r="E41" t="s">
        <v>569</v>
      </c>
      <c r="F41" s="31">
        <v>7411.11</v>
      </c>
      <c r="G41" s="17">
        <v>6</v>
      </c>
      <c r="H41" s="31">
        <v>1334.23</v>
      </c>
      <c r="I41" s="31">
        <f t="shared" si="0"/>
        <v>43132.429999999993</v>
      </c>
      <c r="J41" s="16">
        <f t="shared" si="1"/>
        <v>39538.060833333322</v>
      </c>
      <c r="K41">
        <v>12</v>
      </c>
      <c r="L41" s="16">
        <f t="shared" si="2"/>
        <v>4744.5672999999988</v>
      </c>
      <c r="M41">
        <v>0</v>
      </c>
      <c r="N41" s="16">
        <f t="shared" si="3"/>
        <v>0</v>
      </c>
    </row>
    <row r="42" spans="1:14" x14ac:dyDescent="0.25">
      <c r="A42" s="29">
        <v>4</v>
      </c>
      <c r="B42" t="s">
        <v>28</v>
      </c>
      <c r="C42" s="1" t="s">
        <v>29</v>
      </c>
      <c r="D42" t="s">
        <v>1222</v>
      </c>
      <c r="E42" t="s">
        <v>569</v>
      </c>
      <c r="F42" s="31">
        <v>7411.11</v>
      </c>
      <c r="G42" s="17">
        <v>6</v>
      </c>
      <c r="H42" s="31">
        <v>1334.23</v>
      </c>
      <c r="I42" s="31">
        <f t="shared" si="0"/>
        <v>43132.429999999993</v>
      </c>
      <c r="J42" s="16">
        <f t="shared" si="1"/>
        <v>39538.060833333322</v>
      </c>
      <c r="K42">
        <v>12</v>
      </c>
      <c r="L42" s="16">
        <f t="shared" si="2"/>
        <v>4744.5672999999988</v>
      </c>
      <c r="M42">
        <v>0</v>
      </c>
      <c r="N42" s="16">
        <f t="shared" si="3"/>
        <v>0</v>
      </c>
    </row>
    <row r="43" spans="1:14" x14ac:dyDescent="0.25">
      <c r="A43" s="29">
        <v>4</v>
      </c>
      <c r="B43" t="s">
        <v>28</v>
      </c>
      <c r="C43" s="1" t="s">
        <v>29</v>
      </c>
      <c r="D43" t="s">
        <v>1247</v>
      </c>
      <c r="E43" t="s">
        <v>569</v>
      </c>
      <c r="F43" s="31">
        <v>974.43</v>
      </c>
      <c r="G43" s="17">
        <v>250</v>
      </c>
      <c r="H43" s="31">
        <v>7308.11</v>
      </c>
      <c r="I43" s="31">
        <f t="shared" si="0"/>
        <v>236299.39</v>
      </c>
      <c r="J43" s="16">
        <f t="shared" si="1"/>
        <v>216607.77416666667</v>
      </c>
      <c r="K43">
        <v>12</v>
      </c>
      <c r="L43" s="16">
        <f t="shared" si="2"/>
        <v>25992.9329</v>
      </c>
      <c r="M43">
        <v>0</v>
      </c>
      <c r="N43" s="16">
        <f t="shared" si="3"/>
        <v>0</v>
      </c>
    </row>
    <row r="44" spans="1:14" x14ac:dyDescent="0.25">
      <c r="A44" s="29">
        <v>4</v>
      </c>
      <c r="B44" t="s">
        <v>28</v>
      </c>
      <c r="C44" s="1" t="s">
        <v>29</v>
      </c>
      <c r="D44" t="s">
        <v>1248</v>
      </c>
      <c r="E44" t="s">
        <v>569</v>
      </c>
      <c r="F44" s="31">
        <v>974.43</v>
      </c>
      <c r="G44" s="17">
        <v>240</v>
      </c>
      <c r="H44" s="31">
        <v>7016.22</v>
      </c>
      <c r="I44" s="31">
        <f t="shared" si="0"/>
        <v>226846.97999999998</v>
      </c>
      <c r="J44" s="16">
        <f t="shared" si="1"/>
        <v>207943.06499999997</v>
      </c>
      <c r="K44">
        <v>12</v>
      </c>
      <c r="L44" s="16">
        <f t="shared" si="2"/>
        <v>24953.167799999999</v>
      </c>
      <c r="M44">
        <v>0</v>
      </c>
      <c r="N44" s="16">
        <f t="shared" si="3"/>
        <v>0</v>
      </c>
    </row>
    <row r="45" spans="1:14" x14ac:dyDescent="0.25">
      <c r="A45" s="29">
        <v>4</v>
      </c>
      <c r="B45" t="s">
        <v>28</v>
      </c>
      <c r="C45" s="1" t="s">
        <v>29</v>
      </c>
      <c r="D45" t="s">
        <v>1249</v>
      </c>
      <c r="E45" t="s">
        <v>569</v>
      </c>
      <c r="F45" s="31">
        <v>1981.62</v>
      </c>
      <c r="G45" s="17">
        <v>120</v>
      </c>
      <c r="H45" s="31">
        <v>7134.23</v>
      </c>
      <c r="I45" s="31">
        <f t="shared" si="0"/>
        <v>230660.16999999998</v>
      </c>
      <c r="J45" s="16">
        <f t="shared" si="1"/>
        <v>211438.48916666664</v>
      </c>
      <c r="K45">
        <v>12</v>
      </c>
      <c r="L45" s="16">
        <f t="shared" si="2"/>
        <v>25372.618699999995</v>
      </c>
      <c r="M45">
        <v>0</v>
      </c>
      <c r="N45" s="16">
        <f t="shared" si="3"/>
        <v>0</v>
      </c>
    </row>
    <row r="46" spans="1:14" x14ac:dyDescent="0.25">
      <c r="A46" s="29">
        <v>4</v>
      </c>
      <c r="B46" t="s">
        <v>28</v>
      </c>
      <c r="C46" s="1" t="s">
        <v>29</v>
      </c>
      <c r="D46" t="s">
        <v>1250</v>
      </c>
      <c r="E46" t="s">
        <v>569</v>
      </c>
      <c r="F46" s="31">
        <v>956.17</v>
      </c>
      <c r="G46" s="17">
        <v>250</v>
      </c>
      <c r="H46" s="31">
        <v>7171.17</v>
      </c>
      <c r="I46" s="31">
        <f t="shared" si="0"/>
        <v>231871.33</v>
      </c>
      <c r="J46" s="16">
        <f t="shared" si="1"/>
        <v>212548.71916666665</v>
      </c>
      <c r="K46">
        <v>12</v>
      </c>
      <c r="L46" s="16">
        <f t="shared" si="2"/>
        <v>25505.846299999997</v>
      </c>
      <c r="M46">
        <v>0</v>
      </c>
      <c r="N46" s="16">
        <f t="shared" si="3"/>
        <v>0</v>
      </c>
    </row>
    <row r="47" spans="1:14" x14ac:dyDescent="0.25">
      <c r="A47" s="29">
        <v>4</v>
      </c>
      <c r="B47" t="s">
        <v>28</v>
      </c>
      <c r="C47" s="1" t="s">
        <v>29</v>
      </c>
      <c r="D47" t="s">
        <v>1251</v>
      </c>
      <c r="E47" t="s">
        <v>569</v>
      </c>
      <c r="F47" s="31">
        <v>956.17</v>
      </c>
      <c r="G47" s="17">
        <v>250</v>
      </c>
      <c r="H47" s="31">
        <v>7171.17</v>
      </c>
      <c r="I47" s="31">
        <f t="shared" si="0"/>
        <v>231871.33</v>
      </c>
      <c r="J47" s="16">
        <f t="shared" si="1"/>
        <v>212548.71916666665</v>
      </c>
      <c r="K47">
        <v>12</v>
      </c>
      <c r="L47" s="16">
        <f t="shared" si="2"/>
        <v>25505.846299999997</v>
      </c>
      <c r="M47">
        <v>0</v>
      </c>
      <c r="N47" s="16">
        <f t="shared" si="3"/>
        <v>0</v>
      </c>
    </row>
    <row r="48" spans="1:14" x14ac:dyDescent="0.25">
      <c r="A48" s="29">
        <v>4</v>
      </c>
      <c r="B48" t="s">
        <v>28</v>
      </c>
      <c r="C48" s="1" t="s">
        <v>29</v>
      </c>
      <c r="D48" t="s">
        <v>1252</v>
      </c>
      <c r="E48" t="s">
        <v>569</v>
      </c>
      <c r="F48" s="31">
        <v>956.17</v>
      </c>
      <c r="G48" s="17">
        <v>250</v>
      </c>
      <c r="H48" s="31">
        <v>7171.17</v>
      </c>
      <c r="I48" s="31">
        <f t="shared" si="0"/>
        <v>231871.33</v>
      </c>
      <c r="J48" s="16">
        <f t="shared" si="1"/>
        <v>212548.71916666665</v>
      </c>
      <c r="K48">
        <v>12</v>
      </c>
      <c r="L48" s="16">
        <f t="shared" si="2"/>
        <v>25505.846299999997</v>
      </c>
      <c r="M48">
        <v>0</v>
      </c>
      <c r="N48" s="16">
        <f t="shared" si="3"/>
        <v>0</v>
      </c>
    </row>
    <row r="49" spans="1:14" x14ac:dyDescent="0.25">
      <c r="A49" s="29">
        <v>4</v>
      </c>
      <c r="B49" t="s">
        <v>28</v>
      </c>
      <c r="C49" s="1" t="s">
        <v>29</v>
      </c>
      <c r="D49" t="s">
        <v>1253</v>
      </c>
      <c r="E49" t="s">
        <v>569</v>
      </c>
      <c r="F49" s="31">
        <v>270.49</v>
      </c>
      <c r="G49" s="17">
        <v>360</v>
      </c>
      <c r="H49" s="31">
        <v>2920.72</v>
      </c>
      <c r="I49" s="31">
        <f t="shared" si="0"/>
        <v>94455.680000000008</v>
      </c>
      <c r="J49" s="16">
        <f t="shared" si="1"/>
        <v>86584.373333333337</v>
      </c>
      <c r="K49">
        <v>12</v>
      </c>
      <c r="L49" s="16">
        <f t="shared" si="2"/>
        <v>10390.1248</v>
      </c>
      <c r="M49">
        <v>0</v>
      </c>
      <c r="N49" s="16">
        <f t="shared" si="3"/>
        <v>0</v>
      </c>
    </row>
    <row r="50" spans="1:14" x14ac:dyDescent="0.25">
      <c r="A50" s="29">
        <v>4</v>
      </c>
      <c r="B50" t="s">
        <v>28</v>
      </c>
      <c r="C50" s="1" t="s">
        <v>29</v>
      </c>
      <c r="D50" t="s">
        <v>1254</v>
      </c>
      <c r="E50" t="s">
        <v>569</v>
      </c>
      <c r="F50" s="31">
        <v>270.49</v>
      </c>
      <c r="G50" s="17">
        <v>360</v>
      </c>
      <c r="H50" s="31">
        <v>2920.72</v>
      </c>
      <c r="I50" s="31">
        <f t="shared" si="0"/>
        <v>94455.680000000008</v>
      </c>
      <c r="J50" s="16">
        <f t="shared" si="1"/>
        <v>86584.373333333337</v>
      </c>
      <c r="K50">
        <v>12</v>
      </c>
      <c r="L50" s="16">
        <f t="shared" si="2"/>
        <v>10390.1248</v>
      </c>
      <c r="M50">
        <v>0</v>
      </c>
      <c r="N50" s="16">
        <f t="shared" si="3"/>
        <v>0</v>
      </c>
    </row>
    <row r="51" spans="1:14" x14ac:dyDescent="0.25">
      <c r="A51" s="29">
        <v>4</v>
      </c>
      <c r="B51" t="s">
        <v>28</v>
      </c>
      <c r="C51" s="1" t="s">
        <v>29</v>
      </c>
      <c r="D51" t="s">
        <v>1255</v>
      </c>
      <c r="E51" t="s">
        <v>569</v>
      </c>
      <c r="F51" s="31">
        <v>3752.74</v>
      </c>
      <c r="G51" s="17">
        <v>24</v>
      </c>
      <c r="H51" s="31">
        <v>2701.8</v>
      </c>
      <c r="I51" s="31">
        <f t="shared" si="0"/>
        <v>87363.959999999992</v>
      </c>
      <c r="J51" s="16">
        <f t="shared" si="1"/>
        <v>80083.62999999999</v>
      </c>
      <c r="K51">
        <v>12</v>
      </c>
      <c r="L51" s="16">
        <f t="shared" si="2"/>
        <v>9610.0355999999974</v>
      </c>
      <c r="M51">
        <v>0</v>
      </c>
      <c r="N51" s="16">
        <f t="shared" si="3"/>
        <v>0</v>
      </c>
    </row>
    <row r="52" spans="1:14" x14ac:dyDescent="0.25">
      <c r="A52" s="29">
        <v>4</v>
      </c>
      <c r="B52" t="s">
        <v>28</v>
      </c>
      <c r="C52" s="1" t="s">
        <v>29</v>
      </c>
      <c r="D52" t="s">
        <v>1226</v>
      </c>
      <c r="E52" t="s">
        <v>569</v>
      </c>
      <c r="F52" s="31">
        <v>7411.11</v>
      </c>
      <c r="G52" s="17">
        <v>6</v>
      </c>
      <c r="H52" s="31">
        <v>1334.23</v>
      </c>
      <c r="I52" s="31">
        <f t="shared" si="0"/>
        <v>43132.429999999993</v>
      </c>
      <c r="J52" s="16">
        <f t="shared" si="1"/>
        <v>39538.060833333322</v>
      </c>
      <c r="K52">
        <v>12</v>
      </c>
      <c r="L52" s="16">
        <f t="shared" si="2"/>
        <v>4744.5672999999988</v>
      </c>
      <c r="M52">
        <v>0</v>
      </c>
      <c r="N52" s="16">
        <f t="shared" si="3"/>
        <v>0</v>
      </c>
    </row>
    <row r="53" spans="1:14" x14ac:dyDescent="0.25">
      <c r="A53" s="29">
        <v>4</v>
      </c>
      <c r="B53" t="s">
        <v>28</v>
      </c>
      <c r="C53" s="1" t="s">
        <v>29</v>
      </c>
      <c r="D53" t="s">
        <v>1256</v>
      </c>
      <c r="E53" t="s">
        <v>569</v>
      </c>
      <c r="F53" s="31">
        <v>3680</v>
      </c>
      <c r="G53" s="17">
        <v>20</v>
      </c>
      <c r="H53" s="31">
        <v>2208.11</v>
      </c>
      <c r="I53" s="31">
        <f t="shared" si="0"/>
        <v>71391.89</v>
      </c>
      <c r="J53" s="16">
        <f t="shared" si="1"/>
        <v>65442.565833333327</v>
      </c>
      <c r="K53">
        <v>12</v>
      </c>
      <c r="L53" s="16">
        <f t="shared" si="2"/>
        <v>7853.1078999999991</v>
      </c>
      <c r="M53">
        <v>0</v>
      </c>
      <c r="N53" s="16">
        <f t="shared" si="3"/>
        <v>0</v>
      </c>
    </row>
    <row r="54" spans="1:14" x14ac:dyDescent="0.25">
      <c r="A54" s="29">
        <v>5</v>
      </c>
      <c r="B54" t="s">
        <v>28</v>
      </c>
      <c r="C54" s="1" t="s">
        <v>29</v>
      </c>
      <c r="D54" t="s">
        <v>1257</v>
      </c>
      <c r="E54" t="s">
        <v>569</v>
      </c>
      <c r="F54" s="31">
        <v>3752.73</v>
      </c>
      <c r="G54" s="17">
        <v>36</v>
      </c>
      <c r="H54" s="31">
        <v>4053.15</v>
      </c>
      <c r="I54" s="31">
        <f t="shared" si="0"/>
        <v>131045.13</v>
      </c>
      <c r="J54" s="16">
        <f t="shared" si="1"/>
        <v>120124.7025</v>
      </c>
      <c r="K54">
        <v>12</v>
      </c>
      <c r="L54" s="16">
        <f t="shared" si="2"/>
        <v>14414.9643</v>
      </c>
      <c r="M54">
        <v>0</v>
      </c>
      <c r="N54" s="16">
        <f t="shared" si="3"/>
        <v>0</v>
      </c>
    </row>
    <row r="55" spans="1:14" x14ac:dyDescent="0.25">
      <c r="A55" s="29">
        <v>5</v>
      </c>
      <c r="B55" t="s">
        <v>28</v>
      </c>
      <c r="C55" s="1" t="s">
        <v>29</v>
      </c>
      <c r="D55" t="s">
        <v>1234</v>
      </c>
      <c r="E55" t="s">
        <v>569</v>
      </c>
      <c r="F55" s="31">
        <v>3752.74</v>
      </c>
      <c r="G55" s="17">
        <v>24</v>
      </c>
      <c r="H55" s="31">
        <v>2701.8</v>
      </c>
      <c r="I55" s="31">
        <f t="shared" si="0"/>
        <v>87363.959999999992</v>
      </c>
      <c r="J55" s="16">
        <f t="shared" si="1"/>
        <v>80083.62999999999</v>
      </c>
      <c r="K55">
        <v>12</v>
      </c>
      <c r="L55" s="16">
        <f t="shared" si="2"/>
        <v>9610.0355999999974</v>
      </c>
      <c r="M55">
        <v>0</v>
      </c>
      <c r="N55" s="16">
        <f t="shared" si="3"/>
        <v>0</v>
      </c>
    </row>
    <row r="56" spans="1:14" x14ac:dyDescent="0.25">
      <c r="A56" s="29">
        <v>5</v>
      </c>
      <c r="B56" t="s">
        <v>28</v>
      </c>
      <c r="C56" s="1" t="s">
        <v>29</v>
      </c>
      <c r="D56" t="s">
        <v>1258</v>
      </c>
      <c r="E56" t="s">
        <v>569</v>
      </c>
      <c r="F56" s="31">
        <v>3752.73</v>
      </c>
      <c r="G56" s="17">
        <v>36</v>
      </c>
      <c r="H56" s="31">
        <v>4053.15</v>
      </c>
      <c r="I56" s="31">
        <f t="shared" si="0"/>
        <v>131045.13</v>
      </c>
      <c r="J56" s="16">
        <f t="shared" si="1"/>
        <v>120124.7025</v>
      </c>
      <c r="K56">
        <v>12</v>
      </c>
      <c r="L56" s="16">
        <f t="shared" si="2"/>
        <v>14414.9643</v>
      </c>
      <c r="M56">
        <v>0</v>
      </c>
      <c r="N56" s="16">
        <f t="shared" si="3"/>
        <v>0</v>
      </c>
    </row>
    <row r="57" spans="1:14" x14ac:dyDescent="0.25">
      <c r="A57" s="29">
        <v>5</v>
      </c>
      <c r="B57" t="s">
        <v>28</v>
      </c>
      <c r="C57" s="1" t="s">
        <v>29</v>
      </c>
      <c r="D57" t="s">
        <v>1259</v>
      </c>
      <c r="E57" t="s">
        <v>569</v>
      </c>
      <c r="F57" s="31">
        <v>4571.62</v>
      </c>
      <c r="G57" s="17">
        <v>36</v>
      </c>
      <c r="H57" s="31">
        <v>4936.9399999999996</v>
      </c>
      <c r="I57" s="31">
        <f t="shared" si="0"/>
        <v>159641.38</v>
      </c>
      <c r="J57" s="16">
        <f t="shared" si="1"/>
        <v>146337.93166666667</v>
      </c>
      <c r="K57">
        <v>12</v>
      </c>
      <c r="L57" s="16">
        <f t="shared" si="2"/>
        <v>17560.551800000001</v>
      </c>
      <c r="M57">
        <v>0</v>
      </c>
      <c r="N57" s="16">
        <f t="shared" si="3"/>
        <v>0</v>
      </c>
    </row>
    <row r="58" spans="1:14" x14ac:dyDescent="0.25">
      <c r="A58" s="29">
        <v>5</v>
      </c>
      <c r="B58" t="s">
        <v>28</v>
      </c>
      <c r="C58" s="1" t="s">
        <v>29</v>
      </c>
      <c r="D58" t="s">
        <v>1260</v>
      </c>
      <c r="E58" t="s">
        <v>569</v>
      </c>
      <c r="F58" s="31">
        <v>3752.73</v>
      </c>
      <c r="G58" s="17">
        <v>36</v>
      </c>
      <c r="H58" s="31">
        <v>4053.15</v>
      </c>
      <c r="I58" s="31">
        <f t="shared" si="0"/>
        <v>131045.13</v>
      </c>
      <c r="J58" s="16">
        <f t="shared" si="1"/>
        <v>120124.7025</v>
      </c>
      <c r="K58">
        <v>12</v>
      </c>
      <c r="L58" s="16">
        <f t="shared" si="2"/>
        <v>14414.9643</v>
      </c>
      <c r="M58">
        <v>0</v>
      </c>
      <c r="N58" s="16">
        <f t="shared" si="3"/>
        <v>0</v>
      </c>
    </row>
    <row r="59" spans="1:14" x14ac:dyDescent="0.25">
      <c r="A59" s="29">
        <v>5</v>
      </c>
      <c r="B59" t="s">
        <v>28</v>
      </c>
      <c r="C59" s="1" t="s">
        <v>29</v>
      </c>
      <c r="D59" t="s">
        <v>1261</v>
      </c>
      <c r="E59" t="s">
        <v>569</v>
      </c>
      <c r="F59" s="31">
        <v>3752.74</v>
      </c>
      <c r="G59" s="17">
        <v>24</v>
      </c>
      <c r="H59" s="31">
        <v>2701.8</v>
      </c>
      <c r="I59" s="31">
        <f t="shared" si="0"/>
        <v>87363.959999999992</v>
      </c>
      <c r="J59" s="16">
        <f t="shared" si="1"/>
        <v>80083.62999999999</v>
      </c>
      <c r="K59">
        <v>12</v>
      </c>
      <c r="L59" s="16">
        <f t="shared" si="2"/>
        <v>9610.0355999999974</v>
      </c>
      <c r="M59">
        <v>0</v>
      </c>
      <c r="N59" s="16">
        <f t="shared" si="3"/>
        <v>0</v>
      </c>
    </row>
    <row r="60" spans="1:14" x14ac:dyDescent="0.25">
      <c r="A60" s="29">
        <v>5</v>
      </c>
      <c r="B60" t="s">
        <v>28</v>
      </c>
      <c r="C60" s="1" t="s">
        <v>29</v>
      </c>
      <c r="D60" t="s">
        <v>1212</v>
      </c>
      <c r="E60" t="s">
        <v>569</v>
      </c>
      <c r="F60" s="31">
        <v>1503.1</v>
      </c>
      <c r="G60" s="17">
        <v>36</v>
      </c>
      <c r="H60" s="31">
        <v>1623.42</v>
      </c>
      <c r="I60" s="31">
        <f t="shared" si="0"/>
        <v>52488.18</v>
      </c>
      <c r="J60" s="16">
        <f t="shared" si="1"/>
        <v>48114.165000000001</v>
      </c>
      <c r="K60">
        <v>12</v>
      </c>
      <c r="L60" s="16">
        <f t="shared" si="2"/>
        <v>5773.6997999999994</v>
      </c>
      <c r="M60">
        <v>0</v>
      </c>
      <c r="N60" s="16">
        <f t="shared" si="3"/>
        <v>0</v>
      </c>
    </row>
    <row r="61" spans="1:14" x14ac:dyDescent="0.25">
      <c r="A61" s="29">
        <v>5</v>
      </c>
      <c r="B61" t="s">
        <v>28</v>
      </c>
      <c r="C61" s="1" t="s">
        <v>29</v>
      </c>
      <c r="D61" t="s">
        <v>1214</v>
      </c>
      <c r="E61" t="s">
        <v>569</v>
      </c>
      <c r="F61" s="31">
        <v>2190.17</v>
      </c>
      <c r="G61" s="17">
        <v>36</v>
      </c>
      <c r="H61" s="31">
        <v>2364.86</v>
      </c>
      <c r="I61" s="31">
        <f t="shared" si="0"/>
        <v>76481.259999999995</v>
      </c>
      <c r="J61" s="16">
        <f t="shared" si="1"/>
        <v>70107.821666666656</v>
      </c>
      <c r="K61">
        <v>12</v>
      </c>
      <c r="L61" s="16">
        <f t="shared" si="2"/>
        <v>8412.9385999999995</v>
      </c>
      <c r="M61">
        <v>0</v>
      </c>
      <c r="N61" s="16">
        <f t="shared" si="3"/>
        <v>0</v>
      </c>
    </row>
    <row r="62" spans="1:14" x14ac:dyDescent="0.25">
      <c r="A62" s="29">
        <v>5</v>
      </c>
      <c r="B62" t="s">
        <v>28</v>
      </c>
      <c r="C62" s="1" t="s">
        <v>29</v>
      </c>
      <c r="D62" t="s">
        <v>1238</v>
      </c>
      <c r="E62" t="s">
        <v>569</v>
      </c>
      <c r="F62" s="31">
        <v>956.17</v>
      </c>
      <c r="G62" s="17">
        <v>250</v>
      </c>
      <c r="H62" s="31">
        <v>7171.17</v>
      </c>
      <c r="I62" s="31">
        <f t="shared" si="0"/>
        <v>231871.33</v>
      </c>
      <c r="J62" s="16">
        <f t="shared" si="1"/>
        <v>212548.71916666665</v>
      </c>
      <c r="K62">
        <v>12</v>
      </c>
      <c r="L62" s="16">
        <f t="shared" si="2"/>
        <v>25505.846299999997</v>
      </c>
      <c r="M62">
        <v>0</v>
      </c>
      <c r="N62" s="16">
        <f t="shared" si="3"/>
        <v>0</v>
      </c>
    </row>
    <row r="63" spans="1:14" x14ac:dyDescent="0.25">
      <c r="A63" s="29">
        <v>5</v>
      </c>
      <c r="B63" t="s">
        <v>28</v>
      </c>
      <c r="C63" s="1" t="s">
        <v>29</v>
      </c>
      <c r="D63" t="s">
        <v>1262</v>
      </c>
      <c r="E63" t="s">
        <v>569</v>
      </c>
      <c r="F63" s="31">
        <v>956.17</v>
      </c>
      <c r="G63" s="17">
        <v>250</v>
      </c>
      <c r="H63" s="31">
        <v>7171.17</v>
      </c>
      <c r="I63" s="31">
        <f t="shared" si="0"/>
        <v>231871.33</v>
      </c>
      <c r="J63" s="16">
        <f t="shared" si="1"/>
        <v>212548.71916666665</v>
      </c>
      <c r="K63">
        <v>12</v>
      </c>
      <c r="L63" s="16">
        <f t="shared" si="2"/>
        <v>25505.846299999997</v>
      </c>
      <c r="M63">
        <v>0</v>
      </c>
      <c r="N63" s="16">
        <f t="shared" si="3"/>
        <v>0</v>
      </c>
    </row>
    <row r="64" spans="1:14" x14ac:dyDescent="0.25">
      <c r="A64" s="29">
        <v>5</v>
      </c>
      <c r="B64" t="s">
        <v>28</v>
      </c>
      <c r="C64" s="1" t="s">
        <v>29</v>
      </c>
      <c r="D64" t="s">
        <v>1239</v>
      </c>
      <c r="E64" t="s">
        <v>569</v>
      </c>
      <c r="F64" s="31">
        <v>956.17</v>
      </c>
      <c r="G64" s="17">
        <v>250</v>
      </c>
      <c r="H64" s="31">
        <v>7171.17</v>
      </c>
      <c r="I64" s="31">
        <f t="shared" si="0"/>
        <v>231871.33</v>
      </c>
      <c r="J64" s="16">
        <f t="shared" si="1"/>
        <v>212548.71916666665</v>
      </c>
      <c r="K64">
        <v>12</v>
      </c>
      <c r="L64" s="16">
        <f t="shared" si="2"/>
        <v>25505.846299999997</v>
      </c>
      <c r="M64">
        <v>0</v>
      </c>
      <c r="N64" s="16">
        <f t="shared" si="3"/>
        <v>0</v>
      </c>
    </row>
    <row r="65" spans="1:14" x14ac:dyDescent="0.25">
      <c r="A65" s="29">
        <v>5</v>
      </c>
      <c r="B65" t="s">
        <v>28</v>
      </c>
      <c r="C65" s="1" t="s">
        <v>29</v>
      </c>
      <c r="D65" t="s">
        <v>1241</v>
      </c>
      <c r="E65" t="s">
        <v>569</v>
      </c>
      <c r="F65" s="31">
        <v>956.17</v>
      </c>
      <c r="G65" s="17">
        <v>250</v>
      </c>
      <c r="H65" s="31">
        <v>7171.17</v>
      </c>
      <c r="I65" s="31">
        <f t="shared" si="0"/>
        <v>231871.33</v>
      </c>
      <c r="J65" s="16">
        <f t="shared" si="1"/>
        <v>212548.71916666665</v>
      </c>
      <c r="K65">
        <v>12</v>
      </c>
      <c r="L65" s="16">
        <f t="shared" si="2"/>
        <v>25505.846299999997</v>
      </c>
      <c r="M65">
        <v>0</v>
      </c>
      <c r="N65" s="16">
        <f t="shared" si="3"/>
        <v>0</v>
      </c>
    </row>
    <row r="66" spans="1:14" x14ac:dyDescent="0.25">
      <c r="A66" s="29">
        <v>5</v>
      </c>
      <c r="B66" t="s">
        <v>28</v>
      </c>
      <c r="C66" s="1" t="s">
        <v>29</v>
      </c>
      <c r="D66" t="s">
        <v>1242</v>
      </c>
      <c r="E66" t="s">
        <v>569</v>
      </c>
      <c r="F66" s="31">
        <v>956.17</v>
      </c>
      <c r="G66" s="17">
        <v>250</v>
      </c>
      <c r="H66" s="31">
        <v>7171.17</v>
      </c>
      <c r="I66" s="31">
        <f t="shared" si="0"/>
        <v>231871.33</v>
      </c>
      <c r="J66" s="16">
        <f t="shared" si="1"/>
        <v>212548.71916666665</v>
      </c>
      <c r="K66">
        <v>12</v>
      </c>
      <c r="L66" s="16">
        <f t="shared" si="2"/>
        <v>25505.846299999997</v>
      </c>
      <c r="M66">
        <v>0</v>
      </c>
      <c r="N66" s="16">
        <f t="shared" si="3"/>
        <v>0</v>
      </c>
    </row>
    <row r="67" spans="1:14" x14ac:dyDescent="0.25">
      <c r="A67" s="29">
        <v>5</v>
      </c>
      <c r="B67" t="s">
        <v>28</v>
      </c>
      <c r="C67" s="1" t="s">
        <v>29</v>
      </c>
      <c r="D67" t="s">
        <v>1244</v>
      </c>
      <c r="E67" t="s">
        <v>569</v>
      </c>
      <c r="F67" s="31">
        <v>956.17</v>
      </c>
      <c r="G67" s="17">
        <v>250</v>
      </c>
      <c r="H67" s="31">
        <v>7171.17</v>
      </c>
      <c r="I67" s="31">
        <f t="shared" ref="I67:I130" si="4">G67*F67-H67</f>
        <v>231871.33</v>
      </c>
      <c r="J67" s="16">
        <f t="shared" ref="J67:J130" si="5">11/12*I67</f>
        <v>212548.71916666665</v>
      </c>
      <c r="K67">
        <v>12</v>
      </c>
      <c r="L67" s="16">
        <f t="shared" ref="L67:L130" si="6">J67*K67/100</f>
        <v>25505.846299999997</v>
      </c>
      <c r="M67">
        <v>0</v>
      </c>
      <c r="N67" s="16">
        <f t="shared" ref="N67:N130" si="7">M67*J67/100</f>
        <v>0</v>
      </c>
    </row>
    <row r="68" spans="1:14" x14ac:dyDescent="0.25">
      <c r="A68" s="29">
        <v>5</v>
      </c>
      <c r="B68" t="s">
        <v>28</v>
      </c>
      <c r="C68" s="1" t="s">
        <v>29</v>
      </c>
      <c r="D68" t="s">
        <v>1245</v>
      </c>
      <c r="E68" t="s">
        <v>569</v>
      </c>
      <c r="F68" s="31">
        <v>956.17</v>
      </c>
      <c r="G68" s="17">
        <v>250</v>
      </c>
      <c r="H68" s="31">
        <v>7171.17</v>
      </c>
      <c r="I68" s="31">
        <f t="shared" si="4"/>
        <v>231871.33</v>
      </c>
      <c r="J68" s="16">
        <f t="shared" si="5"/>
        <v>212548.71916666665</v>
      </c>
      <c r="K68">
        <v>12</v>
      </c>
      <c r="L68" s="16">
        <f t="shared" si="6"/>
        <v>25505.846299999997</v>
      </c>
      <c r="M68">
        <v>0</v>
      </c>
      <c r="N68" s="16">
        <f t="shared" si="7"/>
        <v>0</v>
      </c>
    </row>
    <row r="69" spans="1:14" x14ac:dyDescent="0.25">
      <c r="A69" s="29">
        <v>5</v>
      </c>
      <c r="B69" t="s">
        <v>28</v>
      </c>
      <c r="C69" s="1" t="s">
        <v>29</v>
      </c>
      <c r="D69" t="s">
        <v>1263</v>
      </c>
      <c r="E69" t="s">
        <v>569</v>
      </c>
      <c r="F69" s="31">
        <v>257.52</v>
      </c>
      <c r="G69" s="17">
        <v>720</v>
      </c>
      <c r="H69" s="31">
        <v>5562.16</v>
      </c>
      <c r="I69" s="31">
        <f t="shared" si="4"/>
        <v>179852.24</v>
      </c>
      <c r="J69" s="16">
        <f t="shared" si="5"/>
        <v>164864.55333333332</v>
      </c>
      <c r="K69">
        <v>12</v>
      </c>
      <c r="L69" s="16">
        <f t="shared" si="6"/>
        <v>19783.746399999996</v>
      </c>
      <c r="M69">
        <v>0</v>
      </c>
      <c r="N69" s="16">
        <f t="shared" si="7"/>
        <v>0</v>
      </c>
    </row>
    <row r="70" spans="1:14" x14ac:dyDescent="0.25">
      <c r="A70" s="29">
        <v>5</v>
      </c>
      <c r="B70" t="s">
        <v>28</v>
      </c>
      <c r="C70" s="1" t="s">
        <v>29</v>
      </c>
      <c r="D70" t="s">
        <v>1264</v>
      </c>
      <c r="E70" t="s">
        <v>569</v>
      </c>
      <c r="F70" s="31">
        <v>3117.87</v>
      </c>
      <c r="G70" s="17">
        <v>36</v>
      </c>
      <c r="H70" s="31">
        <v>3366.67</v>
      </c>
      <c r="I70" s="31">
        <f t="shared" si="4"/>
        <v>108876.65</v>
      </c>
      <c r="J70" s="16">
        <f t="shared" si="5"/>
        <v>99803.595833333326</v>
      </c>
      <c r="K70">
        <v>12</v>
      </c>
      <c r="L70" s="16">
        <f t="shared" si="6"/>
        <v>11976.431499999999</v>
      </c>
      <c r="M70">
        <v>0</v>
      </c>
      <c r="N70" s="16">
        <f t="shared" si="7"/>
        <v>0</v>
      </c>
    </row>
    <row r="71" spans="1:14" x14ac:dyDescent="0.25">
      <c r="A71" s="29">
        <v>5</v>
      </c>
      <c r="B71" t="s">
        <v>28</v>
      </c>
      <c r="C71" s="1" t="s">
        <v>29</v>
      </c>
      <c r="D71" t="s">
        <v>1216</v>
      </c>
      <c r="E71" t="s">
        <v>569</v>
      </c>
      <c r="F71" s="31">
        <v>7411.11</v>
      </c>
      <c r="G71" s="17">
        <v>12</v>
      </c>
      <c r="H71" s="31">
        <v>2667.57</v>
      </c>
      <c r="I71" s="31">
        <f t="shared" si="4"/>
        <v>86265.749999999985</v>
      </c>
      <c r="J71" s="16">
        <f t="shared" si="5"/>
        <v>79076.937499999985</v>
      </c>
      <c r="K71">
        <v>12</v>
      </c>
      <c r="L71" s="16">
        <f t="shared" si="6"/>
        <v>9489.2324999999983</v>
      </c>
      <c r="M71">
        <v>0</v>
      </c>
      <c r="N71" s="16">
        <f t="shared" si="7"/>
        <v>0</v>
      </c>
    </row>
    <row r="72" spans="1:14" x14ac:dyDescent="0.25">
      <c r="A72" s="29">
        <v>5</v>
      </c>
      <c r="B72" t="s">
        <v>28</v>
      </c>
      <c r="C72" s="1" t="s">
        <v>29</v>
      </c>
      <c r="D72" t="s">
        <v>1218</v>
      </c>
      <c r="E72" t="s">
        <v>569</v>
      </c>
      <c r="F72" s="31">
        <v>7411.11</v>
      </c>
      <c r="G72" s="17">
        <v>12</v>
      </c>
      <c r="H72" s="31">
        <v>2667.57</v>
      </c>
      <c r="I72" s="31">
        <f t="shared" si="4"/>
        <v>86265.749999999985</v>
      </c>
      <c r="J72" s="16">
        <f t="shared" si="5"/>
        <v>79076.937499999985</v>
      </c>
      <c r="K72">
        <v>12</v>
      </c>
      <c r="L72" s="16">
        <f t="shared" si="6"/>
        <v>9489.2324999999983</v>
      </c>
      <c r="M72">
        <v>0</v>
      </c>
      <c r="N72" s="16">
        <f t="shared" si="7"/>
        <v>0</v>
      </c>
    </row>
    <row r="73" spans="1:14" x14ac:dyDescent="0.25">
      <c r="A73" s="29">
        <v>5</v>
      </c>
      <c r="B73" t="s">
        <v>28</v>
      </c>
      <c r="C73" s="1" t="s">
        <v>29</v>
      </c>
      <c r="D73" t="s">
        <v>1219</v>
      </c>
      <c r="E73" t="s">
        <v>569</v>
      </c>
      <c r="F73" s="31">
        <v>7636.11</v>
      </c>
      <c r="G73" s="17">
        <v>12</v>
      </c>
      <c r="H73" s="31">
        <v>2748.65</v>
      </c>
      <c r="I73" s="31">
        <f t="shared" si="4"/>
        <v>88884.67</v>
      </c>
      <c r="J73" s="16">
        <f t="shared" si="5"/>
        <v>81477.614166666666</v>
      </c>
      <c r="K73">
        <v>12</v>
      </c>
      <c r="L73" s="16">
        <f t="shared" si="6"/>
        <v>9777.3137000000006</v>
      </c>
      <c r="M73">
        <v>0</v>
      </c>
      <c r="N73" s="16">
        <f t="shared" si="7"/>
        <v>0</v>
      </c>
    </row>
    <row r="74" spans="1:14" x14ac:dyDescent="0.25">
      <c r="A74" s="29">
        <v>5</v>
      </c>
      <c r="B74" t="s">
        <v>28</v>
      </c>
      <c r="C74" s="1" t="s">
        <v>29</v>
      </c>
      <c r="D74" t="s">
        <v>1221</v>
      </c>
      <c r="E74" t="s">
        <v>569</v>
      </c>
      <c r="F74" s="31">
        <v>7411.11</v>
      </c>
      <c r="G74" s="17">
        <v>6</v>
      </c>
      <c r="H74" s="31">
        <v>1334.23</v>
      </c>
      <c r="I74" s="31">
        <f t="shared" si="4"/>
        <v>43132.429999999993</v>
      </c>
      <c r="J74" s="16">
        <f t="shared" si="5"/>
        <v>39538.060833333322</v>
      </c>
      <c r="K74">
        <v>12</v>
      </c>
      <c r="L74" s="16">
        <f t="shared" si="6"/>
        <v>4744.5672999999988</v>
      </c>
      <c r="M74">
        <v>0</v>
      </c>
      <c r="N74" s="16">
        <f t="shared" si="7"/>
        <v>0</v>
      </c>
    </row>
    <row r="75" spans="1:14" x14ac:dyDescent="0.25">
      <c r="A75" s="29">
        <v>5</v>
      </c>
      <c r="B75" t="s">
        <v>28</v>
      </c>
      <c r="C75" s="1" t="s">
        <v>29</v>
      </c>
      <c r="D75" t="s">
        <v>1223</v>
      </c>
      <c r="E75" t="s">
        <v>569</v>
      </c>
      <c r="F75" s="31">
        <v>7411.11</v>
      </c>
      <c r="G75" s="17">
        <v>6</v>
      </c>
      <c r="H75" s="31">
        <v>1334.23</v>
      </c>
      <c r="I75" s="31">
        <f t="shared" si="4"/>
        <v>43132.429999999993</v>
      </c>
      <c r="J75" s="16">
        <f t="shared" si="5"/>
        <v>39538.060833333322</v>
      </c>
      <c r="K75">
        <v>12</v>
      </c>
      <c r="L75" s="16">
        <f t="shared" si="6"/>
        <v>4744.5672999999988</v>
      </c>
      <c r="M75">
        <v>0</v>
      </c>
      <c r="N75" s="16">
        <f t="shared" si="7"/>
        <v>0</v>
      </c>
    </row>
    <row r="76" spans="1:14" x14ac:dyDescent="0.25">
      <c r="A76" s="29">
        <v>5</v>
      </c>
      <c r="B76" t="s">
        <v>28</v>
      </c>
      <c r="C76" s="1" t="s">
        <v>29</v>
      </c>
      <c r="D76" t="s">
        <v>1247</v>
      </c>
      <c r="E76" t="s">
        <v>569</v>
      </c>
      <c r="F76" s="31">
        <v>974.43</v>
      </c>
      <c r="G76" s="17">
        <v>500</v>
      </c>
      <c r="H76" s="31">
        <v>14616.22</v>
      </c>
      <c r="I76" s="31">
        <f t="shared" si="4"/>
        <v>472598.78</v>
      </c>
      <c r="J76" s="16">
        <f t="shared" si="5"/>
        <v>433215.54833333334</v>
      </c>
      <c r="K76">
        <v>12</v>
      </c>
      <c r="L76" s="16">
        <f t="shared" si="6"/>
        <v>51985.8658</v>
      </c>
      <c r="M76">
        <v>0</v>
      </c>
      <c r="N76" s="16">
        <f t="shared" si="7"/>
        <v>0</v>
      </c>
    </row>
    <row r="77" spans="1:14" x14ac:dyDescent="0.25">
      <c r="A77" s="29">
        <v>5</v>
      </c>
      <c r="B77" t="s">
        <v>28</v>
      </c>
      <c r="C77" s="1" t="s">
        <v>29</v>
      </c>
      <c r="D77" t="s">
        <v>1250</v>
      </c>
      <c r="E77" t="s">
        <v>569</v>
      </c>
      <c r="F77" s="31">
        <v>956.17</v>
      </c>
      <c r="G77" s="17">
        <v>250</v>
      </c>
      <c r="H77" s="31">
        <v>7171.17</v>
      </c>
      <c r="I77" s="31">
        <f t="shared" si="4"/>
        <v>231871.33</v>
      </c>
      <c r="J77" s="16">
        <f t="shared" si="5"/>
        <v>212548.71916666665</v>
      </c>
      <c r="K77">
        <v>12</v>
      </c>
      <c r="L77" s="16">
        <f t="shared" si="6"/>
        <v>25505.846299999997</v>
      </c>
      <c r="M77">
        <v>0</v>
      </c>
      <c r="N77" s="16">
        <f t="shared" si="7"/>
        <v>0</v>
      </c>
    </row>
    <row r="78" spans="1:14" x14ac:dyDescent="0.25">
      <c r="A78" s="29">
        <v>5</v>
      </c>
      <c r="B78" t="s">
        <v>28</v>
      </c>
      <c r="C78" s="1" t="s">
        <v>29</v>
      </c>
      <c r="D78" t="s">
        <v>1251</v>
      </c>
      <c r="E78" t="s">
        <v>569</v>
      </c>
      <c r="F78" s="31">
        <v>956.17</v>
      </c>
      <c r="G78" s="17">
        <v>250</v>
      </c>
      <c r="H78" s="31">
        <v>7171.17</v>
      </c>
      <c r="I78" s="31">
        <f t="shared" si="4"/>
        <v>231871.33</v>
      </c>
      <c r="J78" s="16">
        <f t="shared" si="5"/>
        <v>212548.71916666665</v>
      </c>
      <c r="K78">
        <v>12</v>
      </c>
      <c r="L78" s="16">
        <f t="shared" si="6"/>
        <v>25505.846299999997</v>
      </c>
      <c r="M78">
        <v>0</v>
      </c>
      <c r="N78" s="16">
        <f t="shared" si="7"/>
        <v>0</v>
      </c>
    </row>
    <row r="79" spans="1:14" x14ac:dyDescent="0.25">
      <c r="A79" s="29">
        <v>5</v>
      </c>
      <c r="B79" t="s">
        <v>28</v>
      </c>
      <c r="C79" s="1" t="s">
        <v>29</v>
      </c>
      <c r="D79" t="s">
        <v>1252</v>
      </c>
      <c r="E79" t="s">
        <v>569</v>
      </c>
      <c r="F79" s="31">
        <v>956.17</v>
      </c>
      <c r="G79" s="17">
        <v>250</v>
      </c>
      <c r="H79" s="31">
        <v>7171.17</v>
      </c>
      <c r="I79" s="31">
        <f t="shared" si="4"/>
        <v>231871.33</v>
      </c>
      <c r="J79" s="16">
        <f t="shared" si="5"/>
        <v>212548.71916666665</v>
      </c>
      <c r="K79">
        <v>12</v>
      </c>
      <c r="L79" s="16">
        <f t="shared" si="6"/>
        <v>25505.846299999997</v>
      </c>
      <c r="M79">
        <v>0</v>
      </c>
      <c r="N79" s="16">
        <f t="shared" si="7"/>
        <v>0</v>
      </c>
    </row>
    <row r="80" spans="1:14" x14ac:dyDescent="0.25">
      <c r="A80" s="29">
        <v>5</v>
      </c>
      <c r="B80" t="s">
        <v>28</v>
      </c>
      <c r="C80" s="1" t="s">
        <v>29</v>
      </c>
      <c r="D80" t="s">
        <v>1265</v>
      </c>
      <c r="E80" t="s">
        <v>569</v>
      </c>
      <c r="F80" s="31">
        <v>956.17</v>
      </c>
      <c r="G80" s="17">
        <v>250</v>
      </c>
      <c r="H80" s="31">
        <v>7171.17</v>
      </c>
      <c r="I80" s="31">
        <f t="shared" si="4"/>
        <v>231871.33</v>
      </c>
      <c r="J80" s="16">
        <f t="shared" si="5"/>
        <v>212548.71916666665</v>
      </c>
      <c r="K80">
        <v>12</v>
      </c>
      <c r="L80" s="16">
        <f t="shared" si="6"/>
        <v>25505.846299999997</v>
      </c>
      <c r="M80">
        <v>0</v>
      </c>
      <c r="N80" s="16">
        <f t="shared" si="7"/>
        <v>0</v>
      </c>
    </row>
    <row r="81" spans="1:14" x14ac:dyDescent="0.25">
      <c r="A81" s="29">
        <v>5</v>
      </c>
      <c r="B81" t="s">
        <v>28</v>
      </c>
      <c r="C81" s="1" t="s">
        <v>29</v>
      </c>
      <c r="D81" t="s">
        <v>1266</v>
      </c>
      <c r="E81" t="s">
        <v>569</v>
      </c>
      <c r="F81" s="31">
        <v>257.52</v>
      </c>
      <c r="G81" s="17">
        <v>720</v>
      </c>
      <c r="H81" s="31">
        <v>5562.16</v>
      </c>
      <c r="I81" s="31">
        <f t="shared" si="4"/>
        <v>179852.24</v>
      </c>
      <c r="J81" s="16">
        <f t="shared" si="5"/>
        <v>164864.55333333332</v>
      </c>
      <c r="K81">
        <v>12</v>
      </c>
      <c r="L81" s="16">
        <f t="shared" si="6"/>
        <v>19783.746399999996</v>
      </c>
      <c r="M81">
        <v>0</v>
      </c>
      <c r="N81" s="16">
        <f t="shared" si="7"/>
        <v>0</v>
      </c>
    </row>
    <row r="82" spans="1:14" x14ac:dyDescent="0.25">
      <c r="A82" s="29">
        <v>5</v>
      </c>
      <c r="B82" t="s">
        <v>28</v>
      </c>
      <c r="C82" s="1" t="s">
        <v>29</v>
      </c>
      <c r="D82" t="s">
        <v>1267</v>
      </c>
      <c r="E82" t="s">
        <v>569</v>
      </c>
      <c r="F82" s="31">
        <v>257.52</v>
      </c>
      <c r="G82" s="17">
        <v>1440</v>
      </c>
      <c r="H82" s="31">
        <v>11125.23</v>
      </c>
      <c r="I82" s="31">
        <f t="shared" si="4"/>
        <v>359703.57</v>
      </c>
      <c r="J82" s="16">
        <f t="shared" si="5"/>
        <v>329728.27250000002</v>
      </c>
      <c r="K82">
        <v>12</v>
      </c>
      <c r="L82" s="16">
        <f t="shared" si="6"/>
        <v>39567.392700000004</v>
      </c>
      <c r="M82">
        <v>0</v>
      </c>
      <c r="N82" s="16">
        <f t="shared" si="7"/>
        <v>0</v>
      </c>
    </row>
    <row r="83" spans="1:14" x14ac:dyDescent="0.25">
      <c r="A83" s="29">
        <v>5</v>
      </c>
      <c r="B83" t="s">
        <v>28</v>
      </c>
      <c r="C83" s="1" t="s">
        <v>29</v>
      </c>
      <c r="D83" t="s">
        <v>1268</v>
      </c>
      <c r="E83" t="s">
        <v>569</v>
      </c>
      <c r="F83" s="31">
        <v>3104.5</v>
      </c>
      <c r="G83" s="17">
        <v>12</v>
      </c>
      <c r="H83" s="31">
        <v>1118.02</v>
      </c>
      <c r="I83" s="31">
        <f t="shared" si="4"/>
        <v>36135.980000000003</v>
      </c>
      <c r="J83" s="16">
        <f t="shared" si="5"/>
        <v>33124.648333333338</v>
      </c>
      <c r="K83">
        <v>12</v>
      </c>
      <c r="L83" s="16">
        <f t="shared" si="6"/>
        <v>3974.9578000000001</v>
      </c>
      <c r="M83">
        <v>0</v>
      </c>
      <c r="N83" s="16">
        <f t="shared" si="7"/>
        <v>0</v>
      </c>
    </row>
    <row r="84" spans="1:14" x14ac:dyDescent="0.25">
      <c r="A84" s="29">
        <v>5</v>
      </c>
      <c r="B84" t="s">
        <v>28</v>
      </c>
      <c r="C84" s="1" t="s">
        <v>29</v>
      </c>
      <c r="D84" t="s">
        <v>1269</v>
      </c>
      <c r="E84" t="s">
        <v>569</v>
      </c>
      <c r="F84" s="31">
        <v>4753.1499999999996</v>
      </c>
      <c r="G84" s="17">
        <v>18</v>
      </c>
      <c r="H84" s="31">
        <v>2566.67</v>
      </c>
      <c r="I84" s="31">
        <f t="shared" si="4"/>
        <v>82990.03</v>
      </c>
      <c r="J84" s="16">
        <f t="shared" si="5"/>
        <v>76074.194166666668</v>
      </c>
      <c r="K84">
        <v>12</v>
      </c>
      <c r="L84" s="16">
        <f t="shared" si="6"/>
        <v>9128.9032999999999</v>
      </c>
      <c r="M84">
        <v>0</v>
      </c>
      <c r="N84" s="16">
        <f t="shared" si="7"/>
        <v>0</v>
      </c>
    </row>
    <row r="85" spans="1:14" x14ac:dyDescent="0.25">
      <c r="A85" s="29">
        <v>5</v>
      </c>
      <c r="B85" t="s">
        <v>28</v>
      </c>
      <c r="C85" s="1" t="s">
        <v>29</v>
      </c>
      <c r="D85" t="s">
        <v>1255</v>
      </c>
      <c r="E85" t="s">
        <v>569</v>
      </c>
      <c r="F85" s="31">
        <v>3752.72</v>
      </c>
      <c r="G85" s="17">
        <v>48</v>
      </c>
      <c r="H85" s="31">
        <v>5403.6</v>
      </c>
      <c r="I85" s="31">
        <f t="shared" si="4"/>
        <v>174726.96</v>
      </c>
      <c r="J85" s="16">
        <f t="shared" si="5"/>
        <v>160166.37999999998</v>
      </c>
      <c r="K85">
        <v>12</v>
      </c>
      <c r="L85" s="16">
        <f t="shared" si="6"/>
        <v>19219.965599999996</v>
      </c>
      <c r="M85">
        <v>0</v>
      </c>
      <c r="N85" s="16">
        <f t="shared" si="7"/>
        <v>0</v>
      </c>
    </row>
    <row r="86" spans="1:14" x14ac:dyDescent="0.25">
      <c r="A86" s="29">
        <v>5</v>
      </c>
      <c r="B86" t="s">
        <v>28</v>
      </c>
      <c r="C86" s="1" t="s">
        <v>29</v>
      </c>
      <c r="D86" t="s">
        <v>1231</v>
      </c>
      <c r="E86" t="s">
        <v>569</v>
      </c>
      <c r="F86" s="31">
        <v>1503.11</v>
      </c>
      <c r="G86" s="17">
        <v>144</v>
      </c>
      <c r="H86" s="31">
        <v>6492.79</v>
      </c>
      <c r="I86" s="31">
        <f t="shared" si="4"/>
        <v>209955.05</v>
      </c>
      <c r="J86" s="16">
        <f t="shared" si="5"/>
        <v>192458.79583333331</v>
      </c>
      <c r="K86">
        <v>12</v>
      </c>
      <c r="L86" s="16">
        <f t="shared" si="6"/>
        <v>23095.055499999999</v>
      </c>
      <c r="M86">
        <v>0</v>
      </c>
      <c r="N86" s="16">
        <f t="shared" si="7"/>
        <v>0</v>
      </c>
    </row>
    <row r="87" spans="1:14" x14ac:dyDescent="0.25">
      <c r="A87" s="29">
        <v>5</v>
      </c>
      <c r="B87" t="s">
        <v>28</v>
      </c>
      <c r="C87" s="1" t="s">
        <v>29</v>
      </c>
      <c r="D87" t="s">
        <v>1270</v>
      </c>
      <c r="E87" t="s">
        <v>569</v>
      </c>
      <c r="F87" s="31">
        <v>1503.1</v>
      </c>
      <c r="G87" s="17">
        <v>36</v>
      </c>
      <c r="H87" s="31">
        <v>1623.42</v>
      </c>
      <c r="I87" s="31">
        <f t="shared" si="4"/>
        <v>52488.18</v>
      </c>
      <c r="J87" s="16">
        <f t="shared" si="5"/>
        <v>48114.165000000001</v>
      </c>
      <c r="K87">
        <v>12</v>
      </c>
      <c r="L87" s="16">
        <f t="shared" si="6"/>
        <v>5773.6997999999994</v>
      </c>
      <c r="M87">
        <v>0</v>
      </c>
      <c r="N87" s="16">
        <f t="shared" si="7"/>
        <v>0</v>
      </c>
    </row>
    <row r="88" spans="1:14" x14ac:dyDescent="0.25">
      <c r="A88" s="29">
        <v>5</v>
      </c>
      <c r="B88" t="s">
        <v>28</v>
      </c>
      <c r="C88" s="1" t="s">
        <v>29</v>
      </c>
      <c r="D88" t="s">
        <v>1271</v>
      </c>
      <c r="E88" t="s">
        <v>569</v>
      </c>
      <c r="F88" s="31">
        <v>1503.1</v>
      </c>
      <c r="G88" s="17">
        <v>36</v>
      </c>
      <c r="H88" s="31">
        <v>1623.42</v>
      </c>
      <c r="I88" s="31">
        <f t="shared" si="4"/>
        <v>52488.18</v>
      </c>
      <c r="J88" s="16">
        <f t="shared" si="5"/>
        <v>48114.165000000001</v>
      </c>
      <c r="K88">
        <v>12</v>
      </c>
      <c r="L88" s="16">
        <f t="shared" si="6"/>
        <v>5773.6997999999994</v>
      </c>
      <c r="M88">
        <v>0</v>
      </c>
      <c r="N88" s="16">
        <f t="shared" si="7"/>
        <v>0</v>
      </c>
    </row>
    <row r="89" spans="1:14" x14ac:dyDescent="0.25">
      <c r="A89" s="29">
        <v>5</v>
      </c>
      <c r="B89" t="s">
        <v>28</v>
      </c>
      <c r="C89" s="1" t="s">
        <v>29</v>
      </c>
      <c r="D89" t="s">
        <v>1225</v>
      </c>
      <c r="E89" t="s">
        <v>569</v>
      </c>
      <c r="F89" s="31">
        <v>7636.04</v>
      </c>
      <c r="G89" s="17">
        <v>6</v>
      </c>
      <c r="H89" s="31">
        <v>1373.87</v>
      </c>
      <c r="I89" s="31">
        <f t="shared" si="4"/>
        <v>44442.369999999995</v>
      </c>
      <c r="J89" s="16">
        <f t="shared" si="5"/>
        <v>40738.839166666658</v>
      </c>
      <c r="K89">
        <v>12</v>
      </c>
      <c r="L89" s="16">
        <f t="shared" si="6"/>
        <v>4888.6606999999985</v>
      </c>
      <c r="M89">
        <v>0</v>
      </c>
      <c r="N89" s="16">
        <f t="shared" si="7"/>
        <v>0</v>
      </c>
    </row>
    <row r="90" spans="1:14" x14ac:dyDescent="0.25">
      <c r="A90" s="29">
        <v>5</v>
      </c>
      <c r="B90" t="s">
        <v>28</v>
      </c>
      <c r="C90" s="1" t="s">
        <v>29</v>
      </c>
      <c r="D90" t="s">
        <v>1226</v>
      </c>
      <c r="E90" t="s">
        <v>569</v>
      </c>
      <c r="F90" s="31">
        <v>7411.11</v>
      </c>
      <c r="G90" s="17">
        <v>6</v>
      </c>
      <c r="H90" s="31">
        <v>1334.23</v>
      </c>
      <c r="I90" s="31">
        <f t="shared" si="4"/>
        <v>43132.429999999993</v>
      </c>
      <c r="J90" s="16">
        <f t="shared" si="5"/>
        <v>39538.060833333322</v>
      </c>
      <c r="K90">
        <v>12</v>
      </c>
      <c r="L90" s="16">
        <f t="shared" si="6"/>
        <v>4744.5672999999988</v>
      </c>
      <c r="M90">
        <v>0</v>
      </c>
      <c r="N90" s="16">
        <f t="shared" si="7"/>
        <v>0</v>
      </c>
    </row>
    <row r="91" spans="1:14" x14ac:dyDescent="0.25">
      <c r="A91" s="29">
        <v>5</v>
      </c>
      <c r="B91" t="s">
        <v>28</v>
      </c>
      <c r="C91" s="1" t="s">
        <v>29</v>
      </c>
      <c r="D91" t="s">
        <v>1272</v>
      </c>
      <c r="E91" t="s">
        <v>569</v>
      </c>
      <c r="F91" s="31">
        <v>3680</v>
      </c>
      <c r="G91" s="17">
        <v>30</v>
      </c>
      <c r="H91" s="31">
        <v>3311.71</v>
      </c>
      <c r="I91" s="31">
        <f t="shared" si="4"/>
        <v>107088.29</v>
      </c>
      <c r="J91" s="16">
        <f t="shared" si="5"/>
        <v>98164.265833333324</v>
      </c>
      <c r="K91">
        <v>12</v>
      </c>
      <c r="L91" s="16">
        <f t="shared" si="6"/>
        <v>11779.7119</v>
      </c>
      <c r="M91">
        <v>0</v>
      </c>
      <c r="N91" s="16">
        <f t="shared" si="7"/>
        <v>0</v>
      </c>
    </row>
    <row r="92" spans="1:14" x14ac:dyDescent="0.25">
      <c r="A92" s="29">
        <v>5</v>
      </c>
      <c r="B92" t="s">
        <v>28</v>
      </c>
      <c r="C92" s="1" t="s">
        <v>29</v>
      </c>
      <c r="D92" t="s">
        <v>1273</v>
      </c>
      <c r="E92" t="s">
        <v>569</v>
      </c>
      <c r="F92" s="31">
        <v>3680</v>
      </c>
      <c r="G92" s="17">
        <v>30</v>
      </c>
      <c r="H92" s="31">
        <v>3311.71</v>
      </c>
      <c r="I92" s="31">
        <f t="shared" si="4"/>
        <v>107088.29</v>
      </c>
      <c r="J92" s="16">
        <f t="shared" si="5"/>
        <v>98164.265833333324</v>
      </c>
      <c r="K92">
        <v>12</v>
      </c>
      <c r="L92" s="16">
        <f t="shared" si="6"/>
        <v>11779.7119</v>
      </c>
      <c r="M92">
        <v>0</v>
      </c>
      <c r="N92" s="16">
        <f t="shared" si="7"/>
        <v>0</v>
      </c>
    </row>
    <row r="93" spans="1:14" x14ac:dyDescent="0.25">
      <c r="A93" s="29">
        <v>5</v>
      </c>
      <c r="B93" t="s">
        <v>28</v>
      </c>
      <c r="C93" s="1" t="s">
        <v>29</v>
      </c>
      <c r="D93" t="s">
        <v>1274</v>
      </c>
      <c r="E93" t="s">
        <v>569</v>
      </c>
      <c r="F93" s="31">
        <v>3680</v>
      </c>
      <c r="G93" s="17">
        <v>30</v>
      </c>
      <c r="H93" s="31">
        <v>3311.71</v>
      </c>
      <c r="I93" s="31">
        <f t="shared" si="4"/>
        <v>107088.29</v>
      </c>
      <c r="J93" s="16">
        <f t="shared" si="5"/>
        <v>98164.265833333324</v>
      </c>
      <c r="K93">
        <v>12</v>
      </c>
      <c r="L93" s="16">
        <f t="shared" si="6"/>
        <v>11779.7119</v>
      </c>
      <c r="M93">
        <v>0</v>
      </c>
      <c r="N93" s="16">
        <f t="shared" si="7"/>
        <v>0</v>
      </c>
    </row>
    <row r="94" spans="1:14" x14ac:dyDescent="0.25">
      <c r="A94" s="29">
        <v>5</v>
      </c>
      <c r="B94" t="s">
        <v>28</v>
      </c>
      <c r="C94" s="1" t="s">
        <v>29</v>
      </c>
      <c r="D94" t="s">
        <v>1275</v>
      </c>
      <c r="E94" t="s">
        <v>569</v>
      </c>
      <c r="F94" s="31">
        <v>1222.22</v>
      </c>
      <c r="G94" s="17">
        <v>90</v>
      </c>
      <c r="H94" s="31">
        <f>G94*F94</f>
        <v>109999.8</v>
      </c>
      <c r="I94" s="31">
        <f t="shared" si="4"/>
        <v>0</v>
      </c>
      <c r="J94" s="16">
        <f t="shared" si="5"/>
        <v>0</v>
      </c>
      <c r="K94">
        <v>12</v>
      </c>
      <c r="L94" s="16">
        <f t="shared" si="6"/>
        <v>0</v>
      </c>
      <c r="M94">
        <v>0</v>
      </c>
      <c r="N94" s="16">
        <f t="shared" si="7"/>
        <v>0</v>
      </c>
    </row>
    <row r="95" spans="1:14" x14ac:dyDescent="0.25">
      <c r="A95" s="29">
        <v>5</v>
      </c>
      <c r="B95" t="s">
        <v>28</v>
      </c>
      <c r="C95" s="1" t="s">
        <v>29</v>
      </c>
      <c r="D95" t="s">
        <v>1276</v>
      </c>
      <c r="E95" t="s">
        <v>569</v>
      </c>
      <c r="F95" s="31">
        <v>1222.22</v>
      </c>
      <c r="G95" s="17">
        <v>72</v>
      </c>
      <c r="H95" s="31">
        <f>G95*F95</f>
        <v>87999.84</v>
      </c>
      <c r="I95" s="31">
        <f t="shared" si="4"/>
        <v>0</v>
      </c>
      <c r="J95" s="16">
        <f t="shared" si="5"/>
        <v>0</v>
      </c>
      <c r="K95">
        <v>12</v>
      </c>
      <c r="L95" s="16">
        <f t="shared" si="6"/>
        <v>0</v>
      </c>
      <c r="M95">
        <v>0</v>
      </c>
      <c r="N95" s="16">
        <f t="shared" si="7"/>
        <v>0</v>
      </c>
    </row>
    <row r="96" spans="1:14" x14ac:dyDescent="0.25">
      <c r="A96" s="29">
        <v>6</v>
      </c>
      <c r="B96" t="s">
        <v>28</v>
      </c>
      <c r="C96" s="1" t="s">
        <v>29</v>
      </c>
      <c r="D96" t="s">
        <v>1277</v>
      </c>
      <c r="E96" t="s">
        <v>569</v>
      </c>
      <c r="F96" s="31">
        <v>1503.11</v>
      </c>
      <c r="G96" s="17">
        <v>2880</v>
      </c>
      <c r="H96" s="31">
        <v>129869.37</v>
      </c>
      <c r="I96" s="31">
        <f t="shared" si="4"/>
        <v>4199087.43</v>
      </c>
      <c r="J96" s="16">
        <f t="shared" si="5"/>
        <v>3849163.4774999996</v>
      </c>
      <c r="K96">
        <v>12</v>
      </c>
      <c r="L96" s="16">
        <f t="shared" si="6"/>
        <v>461899.61729999998</v>
      </c>
      <c r="M96">
        <v>0</v>
      </c>
      <c r="N96" s="16">
        <f t="shared" si="7"/>
        <v>0</v>
      </c>
    </row>
    <row r="97" spans="1:14" x14ac:dyDescent="0.25">
      <c r="A97" s="29">
        <v>6</v>
      </c>
      <c r="B97" t="s">
        <v>28</v>
      </c>
      <c r="C97" s="1" t="s">
        <v>29</v>
      </c>
      <c r="D97" t="s">
        <v>1231</v>
      </c>
      <c r="E97" t="s">
        <v>569</v>
      </c>
      <c r="F97" s="31">
        <v>1503.11</v>
      </c>
      <c r="G97" s="17">
        <v>4320</v>
      </c>
      <c r="H97" s="31">
        <v>194802.7</v>
      </c>
      <c r="I97" s="31">
        <f t="shared" si="4"/>
        <v>6298632.4999999991</v>
      </c>
      <c r="J97" s="16">
        <f t="shared" si="5"/>
        <v>5773746.4583333321</v>
      </c>
      <c r="K97">
        <v>12</v>
      </c>
      <c r="L97" s="16">
        <f t="shared" si="6"/>
        <v>692849.57499999984</v>
      </c>
      <c r="M97">
        <v>0</v>
      </c>
      <c r="N97" s="16">
        <f t="shared" si="7"/>
        <v>0</v>
      </c>
    </row>
    <row r="98" spans="1:14" x14ac:dyDescent="0.25">
      <c r="A98" s="29">
        <v>7</v>
      </c>
      <c r="B98" t="s">
        <v>28</v>
      </c>
      <c r="C98" s="1" t="s">
        <v>29</v>
      </c>
      <c r="D98" t="s">
        <v>1260</v>
      </c>
      <c r="E98" t="s">
        <v>569</v>
      </c>
      <c r="F98" s="31">
        <v>3752.73</v>
      </c>
      <c r="G98" s="17">
        <v>144</v>
      </c>
      <c r="H98" s="31">
        <v>16209.91</v>
      </c>
      <c r="I98" s="31">
        <f t="shared" si="4"/>
        <v>524183.21</v>
      </c>
      <c r="J98" s="16">
        <f t="shared" si="5"/>
        <v>480501.27583333332</v>
      </c>
      <c r="K98">
        <v>12</v>
      </c>
      <c r="L98" s="16">
        <f t="shared" si="6"/>
        <v>57660.153099999996</v>
      </c>
      <c r="M98">
        <v>0</v>
      </c>
      <c r="N98" s="16">
        <f t="shared" si="7"/>
        <v>0</v>
      </c>
    </row>
    <row r="99" spans="1:14" x14ac:dyDescent="0.25">
      <c r="A99" s="29">
        <v>7</v>
      </c>
      <c r="B99" t="s">
        <v>28</v>
      </c>
      <c r="C99" s="1" t="s">
        <v>29</v>
      </c>
      <c r="D99" t="s">
        <v>1277</v>
      </c>
      <c r="E99" t="s">
        <v>569</v>
      </c>
      <c r="F99" s="31">
        <v>1503.11</v>
      </c>
      <c r="G99" s="17">
        <v>1440</v>
      </c>
      <c r="H99" s="31">
        <v>64934.23</v>
      </c>
      <c r="I99" s="31">
        <f t="shared" si="4"/>
        <v>2099544.17</v>
      </c>
      <c r="J99" s="16">
        <f t="shared" si="5"/>
        <v>1924582.1558333333</v>
      </c>
      <c r="K99">
        <v>12</v>
      </c>
      <c r="L99" s="16">
        <f t="shared" si="6"/>
        <v>230949.85869999998</v>
      </c>
      <c r="M99">
        <v>0</v>
      </c>
      <c r="N99" s="16">
        <f t="shared" si="7"/>
        <v>0</v>
      </c>
    </row>
    <row r="100" spans="1:14" x14ac:dyDescent="0.25">
      <c r="A100" s="29">
        <v>7</v>
      </c>
      <c r="B100" t="s">
        <v>28</v>
      </c>
      <c r="C100" s="1" t="s">
        <v>29</v>
      </c>
      <c r="D100" t="s">
        <v>1278</v>
      </c>
      <c r="E100" t="s">
        <v>569</v>
      </c>
      <c r="F100" s="31">
        <v>1503.11</v>
      </c>
      <c r="G100" s="17">
        <v>1440</v>
      </c>
      <c r="H100" s="31">
        <v>64934.23</v>
      </c>
      <c r="I100" s="31">
        <f t="shared" si="4"/>
        <v>2099544.17</v>
      </c>
      <c r="J100" s="16">
        <f t="shared" si="5"/>
        <v>1924582.1558333333</v>
      </c>
      <c r="K100">
        <v>12</v>
      </c>
      <c r="L100" s="16">
        <f t="shared" si="6"/>
        <v>230949.85869999998</v>
      </c>
      <c r="M100">
        <v>0</v>
      </c>
      <c r="N100" s="16">
        <f t="shared" si="7"/>
        <v>0</v>
      </c>
    </row>
    <row r="101" spans="1:14" x14ac:dyDescent="0.25">
      <c r="A101" s="29">
        <v>7</v>
      </c>
      <c r="B101" t="s">
        <v>28</v>
      </c>
      <c r="C101" s="1" t="s">
        <v>29</v>
      </c>
      <c r="D101" t="s">
        <v>1212</v>
      </c>
      <c r="E101" t="s">
        <v>569</v>
      </c>
      <c r="F101" s="31">
        <v>1503.11</v>
      </c>
      <c r="G101" s="17">
        <v>1440</v>
      </c>
      <c r="H101" s="31">
        <v>64934.23</v>
      </c>
      <c r="I101" s="31">
        <f t="shared" si="4"/>
        <v>2099544.17</v>
      </c>
      <c r="J101" s="16">
        <f t="shared" si="5"/>
        <v>1924582.1558333333</v>
      </c>
      <c r="K101">
        <v>12</v>
      </c>
      <c r="L101" s="16">
        <f t="shared" si="6"/>
        <v>230949.85869999998</v>
      </c>
      <c r="M101">
        <v>0</v>
      </c>
      <c r="N101" s="16">
        <f t="shared" si="7"/>
        <v>0</v>
      </c>
    </row>
    <row r="102" spans="1:14" x14ac:dyDescent="0.25">
      <c r="A102" s="29">
        <v>7</v>
      </c>
      <c r="B102" t="s">
        <v>28</v>
      </c>
      <c r="C102" s="1" t="s">
        <v>29</v>
      </c>
      <c r="D102" t="s">
        <v>1279</v>
      </c>
      <c r="E102" t="s">
        <v>569</v>
      </c>
      <c r="F102" s="31">
        <v>1503.11</v>
      </c>
      <c r="G102" s="17">
        <v>2160</v>
      </c>
      <c r="H102" s="31">
        <v>97401.8</v>
      </c>
      <c r="I102" s="31">
        <f t="shared" si="4"/>
        <v>3149315.8</v>
      </c>
      <c r="J102" s="16">
        <f t="shared" si="5"/>
        <v>2886872.8166666664</v>
      </c>
      <c r="K102">
        <v>12</v>
      </c>
      <c r="L102" s="16">
        <f t="shared" si="6"/>
        <v>346424.73799999995</v>
      </c>
      <c r="M102">
        <v>0</v>
      </c>
      <c r="N102" s="16">
        <f t="shared" si="7"/>
        <v>0</v>
      </c>
    </row>
    <row r="103" spans="1:14" x14ac:dyDescent="0.25">
      <c r="A103" s="29">
        <v>7</v>
      </c>
      <c r="B103" t="s">
        <v>28</v>
      </c>
      <c r="C103" s="1" t="s">
        <v>29</v>
      </c>
      <c r="D103" t="s">
        <v>1213</v>
      </c>
      <c r="E103" t="s">
        <v>569</v>
      </c>
      <c r="F103" s="31">
        <v>1503.11</v>
      </c>
      <c r="G103" s="17">
        <v>2160</v>
      </c>
      <c r="H103" s="31">
        <v>97401.8</v>
      </c>
      <c r="I103" s="31">
        <f t="shared" si="4"/>
        <v>3149315.8</v>
      </c>
      <c r="J103" s="16">
        <f t="shared" si="5"/>
        <v>2886872.8166666664</v>
      </c>
      <c r="K103">
        <v>12</v>
      </c>
      <c r="L103" s="16">
        <f t="shared" si="6"/>
        <v>346424.73799999995</v>
      </c>
      <c r="M103">
        <v>0</v>
      </c>
      <c r="N103" s="16">
        <f t="shared" si="7"/>
        <v>0</v>
      </c>
    </row>
    <row r="104" spans="1:14" x14ac:dyDescent="0.25">
      <c r="A104" s="29">
        <v>7</v>
      </c>
      <c r="B104" t="s">
        <v>28</v>
      </c>
      <c r="C104" s="1" t="s">
        <v>29</v>
      </c>
      <c r="D104" t="s">
        <v>1280</v>
      </c>
      <c r="E104" t="s">
        <v>569</v>
      </c>
      <c r="F104" s="31">
        <v>1503.11</v>
      </c>
      <c r="G104" s="17">
        <v>720</v>
      </c>
      <c r="H104" s="31">
        <v>32467.57</v>
      </c>
      <c r="I104" s="31">
        <f t="shared" si="4"/>
        <v>1049771.6299999999</v>
      </c>
      <c r="J104" s="16">
        <f t="shared" si="5"/>
        <v>962290.66083333315</v>
      </c>
      <c r="K104">
        <v>12</v>
      </c>
      <c r="L104" s="16">
        <f t="shared" si="6"/>
        <v>115474.87929999997</v>
      </c>
      <c r="M104">
        <v>0</v>
      </c>
      <c r="N104" s="16">
        <f t="shared" si="7"/>
        <v>0</v>
      </c>
    </row>
    <row r="105" spans="1:14" x14ac:dyDescent="0.25">
      <c r="A105" s="29">
        <v>7</v>
      </c>
      <c r="B105" t="s">
        <v>28</v>
      </c>
      <c r="C105" s="1" t="s">
        <v>29</v>
      </c>
      <c r="D105" t="s">
        <v>1214</v>
      </c>
      <c r="E105" t="s">
        <v>569</v>
      </c>
      <c r="F105" s="31">
        <v>2190.17</v>
      </c>
      <c r="G105" s="17">
        <v>4320</v>
      </c>
      <c r="H105" s="31">
        <v>283845.95</v>
      </c>
      <c r="I105" s="31">
        <f t="shared" si="4"/>
        <v>9177688.4500000011</v>
      </c>
      <c r="J105" s="16">
        <f t="shared" si="5"/>
        <v>8412881.0791666675</v>
      </c>
      <c r="K105">
        <v>12</v>
      </c>
      <c r="L105" s="16">
        <f t="shared" si="6"/>
        <v>1009545.7295000001</v>
      </c>
      <c r="M105">
        <v>0</v>
      </c>
      <c r="N105" s="16">
        <f t="shared" si="7"/>
        <v>0</v>
      </c>
    </row>
    <row r="106" spans="1:14" x14ac:dyDescent="0.25">
      <c r="A106" s="29">
        <v>7</v>
      </c>
      <c r="B106" t="s">
        <v>28</v>
      </c>
      <c r="C106" s="1" t="s">
        <v>29</v>
      </c>
      <c r="D106" t="s">
        <v>1281</v>
      </c>
      <c r="E106" t="s">
        <v>569</v>
      </c>
      <c r="F106" s="31">
        <v>1503.11</v>
      </c>
      <c r="G106" s="17">
        <v>1440</v>
      </c>
      <c r="H106" s="31">
        <v>64934.23</v>
      </c>
      <c r="I106" s="31">
        <f t="shared" si="4"/>
        <v>2099544.17</v>
      </c>
      <c r="J106" s="16">
        <f t="shared" si="5"/>
        <v>1924582.1558333333</v>
      </c>
      <c r="K106">
        <v>12</v>
      </c>
      <c r="L106" s="16">
        <f t="shared" si="6"/>
        <v>230949.85869999998</v>
      </c>
      <c r="M106">
        <v>0</v>
      </c>
      <c r="N106" s="16">
        <f t="shared" si="7"/>
        <v>0</v>
      </c>
    </row>
    <row r="107" spans="1:14" x14ac:dyDescent="0.25">
      <c r="A107" s="29">
        <v>7</v>
      </c>
      <c r="B107" t="s">
        <v>28</v>
      </c>
      <c r="C107" s="1" t="s">
        <v>29</v>
      </c>
      <c r="D107" t="s">
        <v>1215</v>
      </c>
      <c r="E107" t="s">
        <v>569</v>
      </c>
      <c r="F107" s="31">
        <v>1503.11</v>
      </c>
      <c r="G107" s="17">
        <v>720</v>
      </c>
      <c r="H107" s="31">
        <v>32467.57</v>
      </c>
      <c r="I107" s="31">
        <f t="shared" si="4"/>
        <v>1049771.6299999999</v>
      </c>
      <c r="J107" s="16">
        <f t="shared" si="5"/>
        <v>962290.66083333315</v>
      </c>
      <c r="K107">
        <v>12</v>
      </c>
      <c r="L107" s="16">
        <f t="shared" si="6"/>
        <v>115474.87929999997</v>
      </c>
      <c r="M107">
        <v>0</v>
      </c>
      <c r="N107" s="16">
        <f t="shared" si="7"/>
        <v>0</v>
      </c>
    </row>
    <row r="108" spans="1:14" x14ac:dyDescent="0.25">
      <c r="A108" s="29">
        <v>7</v>
      </c>
      <c r="B108" t="s">
        <v>28</v>
      </c>
      <c r="C108" s="1" t="s">
        <v>29</v>
      </c>
      <c r="D108" t="s">
        <v>1282</v>
      </c>
      <c r="E108" t="s">
        <v>569</v>
      </c>
      <c r="F108" s="31">
        <v>1503.11</v>
      </c>
      <c r="G108" s="17">
        <v>1440</v>
      </c>
      <c r="H108" s="31">
        <v>64934.23</v>
      </c>
      <c r="I108" s="31">
        <f t="shared" si="4"/>
        <v>2099544.17</v>
      </c>
      <c r="J108" s="16">
        <f t="shared" si="5"/>
        <v>1924582.1558333333</v>
      </c>
      <c r="K108">
        <v>12</v>
      </c>
      <c r="L108" s="16">
        <f t="shared" si="6"/>
        <v>230949.85869999998</v>
      </c>
      <c r="M108">
        <v>0</v>
      </c>
      <c r="N108" s="16">
        <f t="shared" si="7"/>
        <v>0</v>
      </c>
    </row>
    <row r="109" spans="1:14" x14ac:dyDescent="0.25">
      <c r="A109" s="29">
        <v>7</v>
      </c>
      <c r="B109" t="s">
        <v>28</v>
      </c>
      <c r="C109" s="1" t="s">
        <v>29</v>
      </c>
      <c r="D109" t="s">
        <v>1232</v>
      </c>
      <c r="E109" t="s">
        <v>569</v>
      </c>
      <c r="F109" s="31">
        <v>3104.5</v>
      </c>
      <c r="G109" s="17">
        <v>12</v>
      </c>
      <c r="H109" s="31">
        <v>1118.02</v>
      </c>
      <c r="I109" s="31">
        <f t="shared" si="4"/>
        <v>36135.980000000003</v>
      </c>
      <c r="J109" s="16">
        <f t="shared" si="5"/>
        <v>33124.648333333338</v>
      </c>
      <c r="K109">
        <v>12</v>
      </c>
      <c r="L109" s="16">
        <f t="shared" si="6"/>
        <v>3974.9578000000001</v>
      </c>
      <c r="M109">
        <v>0</v>
      </c>
      <c r="N109" s="16">
        <f t="shared" si="7"/>
        <v>0</v>
      </c>
    </row>
    <row r="110" spans="1:14" x14ac:dyDescent="0.25">
      <c r="A110" s="29">
        <v>7</v>
      </c>
      <c r="B110" t="s">
        <v>28</v>
      </c>
      <c r="C110" s="1" t="s">
        <v>29</v>
      </c>
      <c r="D110" t="s">
        <v>1233</v>
      </c>
      <c r="E110" t="s">
        <v>569</v>
      </c>
      <c r="F110" s="31">
        <v>3104.5</v>
      </c>
      <c r="G110" s="17">
        <v>12</v>
      </c>
      <c r="H110" s="31">
        <v>1118.02</v>
      </c>
      <c r="I110" s="31">
        <f t="shared" si="4"/>
        <v>36135.980000000003</v>
      </c>
      <c r="J110" s="16">
        <f t="shared" si="5"/>
        <v>33124.648333333338</v>
      </c>
      <c r="K110">
        <v>12</v>
      </c>
      <c r="L110" s="16">
        <f t="shared" si="6"/>
        <v>3974.9578000000001</v>
      </c>
      <c r="M110">
        <v>0</v>
      </c>
      <c r="N110" s="16">
        <f t="shared" si="7"/>
        <v>0</v>
      </c>
    </row>
    <row r="111" spans="1:14" x14ac:dyDescent="0.25">
      <c r="A111" s="29">
        <v>7</v>
      </c>
      <c r="B111" t="s">
        <v>28</v>
      </c>
      <c r="C111" s="1" t="s">
        <v>29</v>
      </c>
      <c r="D111" t="s">
        <v>1231</v>
      </c>
      <c r="E111" t="s">
        <v>569</v>
      </c>
      <c r="F111" s="31">
        <v>1503.11</v>
      </c>
      <c r="G111" s="17">
        <v>5760</v>
      </c>
      <c r="H111" s="31">
        <v>259736.94</v>
      </c>
      <c r="I111" s="31">
        <f t="shared" si="4"/>
        <v>8398176.6600000001</v>
      </c>
      <c r="J111" s="16">
        <f t="shared" si="5"/>
        <v>7698328.6049999995</v>
      </c>
      <c r="K111">
        <v>12</v>
      </c>
      <c r="L111" s="16">
        <f t="shared" si="6"/>
        <v>923799.43259999994</v>
      </c>
      <c r="M111">
        <v>0</v>
      </c>
      <c r="N111" s="16">
        <f t="shared" si="7"/>
        <v>0</v>
      </c>
    </row>
    <row r="112" spans="1:14" x14ac:dyDescent="0.25">
      <c r="A112" s="29">
        <v>7</v>
      </c>
      <c r="B112" t="s">
        <v>28</v>
      </c>
      <c r="C112" s="1" t="s">
        <v>29</v>
      </c>
      <c r="D112" t="s">
        <v>1271</v>
      </c>
      <c r="E112" t="s">
        <v>569</v>
      </c>
      <c r="F112" s="31">
        <v>1503.11</v>
      </c>
      <c r="G112" s="17">
        <v>2880</v>
      </c>
      <c r="H112" s="31">
        <v>129868.47</v>
      </c>
      <c r="I112" s="31">
        <f t="shared" si="4"/>
        <v>4199088.33</v>
      </c>
      <c r="J112" s="16">
        <f t="shared" si="5"/>
        <v>3849164.3024999998</v>
      </c>
      <c r="K112">
        <v>12</v>
      </c>
      <c r="L112" s="16">
        <f t="shared" si="6"/>
        <v>461899.71629999997</v>
      </c>
      <c r="M112">
        <v>0</v>
      </c>
      <c r="N112" s="16">
        <f t="shared" si="7"/>
        <v>0</v>
      </c>
    </row>
    <row r="113" spans="1:14" x14ac:dyDescent="0.25">
      <c r="A113" s="29">
        <v>8</v>
      </c>
      <c r="B113" t="s">
        <v>28</v>
      </c>
      <c r="C113" s="1" t="s">
        <v>29</v>
      </c>
      <c r="D113" t="s">
        <v>1283</v>
      </c>
      <c r="E113" t="s">
        <v>569</v>
      </c>
      <c r="F113" s="31">
        <v>183153.15</v>
      </c>
      <c r="G113" s="17">
        <v>20</v>
      </c>
      <c r="H113" s="31">
        <v>695494.59</v>
      </c>
      <c r="I113" s="31">
        <f t="shared" si="4"/>
        <v>2967568.41</v>
      </c>
      <c r="J113" s="16">
        <f t="shared" si="5"/>
        <v>2720271.0425</v>
      </c>
      <c r="K113">
        <v>12</v>
      </c>
      <c r="L113" s="16">
        <f t="shared" si="6"/>
        <v>326432.52509999997</v>
      </c>
      <c r="M113">
        <v>0</v>
      </c>
      <c r="N113" s="16">
        <f t="shared" si="7"/>
        <v>0</v>
      </c>
    </row>
    <row r="114" spans="1:14" x14ac:dyDescent="0.25">
      <c r="A114" s="29">
        <v>9</v>
      </c>
      <c r="B114" t="s">
        <v>28</v>
      </c>
      <c r="C114" s="1" t="s">
        <v>29</v>
      </c>
      <c r="D114" t="s">
        <v>1284</v>
      </c>
      <c r="E114" t="s">
        <v>569</v>
      </c>
      <c r="F114" s="31">
        <v>26126.13</v>
      </c>
      <c r="G114" s="17">
        <v>180</v>
      </c>
      <c r="H114" s="31">
        <v>231390.99000000002</v>
      </c>
      <c r="I114" s="31">
        <f t="shared" si="4"/>
        <v>4471312.41</v>
      </c>
      <c r="J114" s="16">
        <f t="shared" si="5"/>
        <v>4098703.0425</v>
      </c>
      <c r="K114">
        <v>12</v>
      </c>
      <c r="L114" s="16">
        <f t="shared" si="6"/>
        <v>491844.3651</v>
      </c>
      <c r="M114">
        <v>0</v>
      </c>
      <c r="N114" s="16">
        <f t="shared" si="7"/>
        <v>0</v>
      </c>
    </row>
    <row r="115" spans="1:14" x14ac:dyDescent="0.25">
      <c r="A115" s="29">
        <v>9</v>
      </c>
      <c r="B115" t="s">
        <v>28</v>
      </c>
      <c r="C115" s="1" t="s">
        <v>29</v>
      </c>
      <c r="D115" t="s">
        <v>1285</v>
      </c>
      <c r="E115" t="s">
        <v>569</v>
      </c>
      <c r="F115" s="31">
        <v>19478.939999999999</v>
      </c>
      <c r="G115" s="17">
        <v>560</v>
      </c>
      <c r="H115" s="31">
        <v>536727.02</v>
      </c>
      <c r="I115" s="31">
        <f t="shared" si="4"/>
        <v>10371479.379999999</v>
      </c>
      <c r="J115" s="16">
        <f t="shared" si="5"/>
        <v>9507189.4316666648</v>
      </c>
      <c r="K115">
        <v>12</v>
      </c>
      <c r="L115" s="16">
        <f t="shared" si="6"/>
        <v>1140862.7317999997</v>
      </c>
      <c r="M115">
        <v>0</v>
      </c>
      <c r="N115" s="16">
        <f t="shared" si="7"/>
        <v>0</v>
      </c>
    </row>
    <row r="116" spans="1:14" x14ac:dyDescent="0.25">
      <c r="A116" s="29">
        <v>9</v>
      </c>
      <c r="B116" t="s">
        <v>28</v>
      </c>
      <c r="C116" s="1" t="s">
        <v>29</v>
      </c>
      <c r="D116" t="s">
        <v>1286</v>
      </c>
      <c r="E116" t="s">
        <v>569</v>
      </c>
      <c r="F116" s="31">
        <v>15849.18</v>
      </c>
      <c r="G116" s="17">
        <v>2400</v>
      </c>
      <c r="H116" s="31">
        <v>1871624.32</v>
      </c>
      <c r="I116" s="31">
        <f t="shared" si="4"/>
        <v>36166407.68</v>
      </c>
      <c r="J116" s="16">
        <f t="shared" si="5"/>
        <v>33152540.373333331</v>
      </c>
      <c r="K116">
        <v>12</v>
      </c>
      <c r="L116" s="16">
        <f t="shared" si="6"/>
        <v>3978304.8447999996</v>
      </c>
      <c r="M116">
        <v>0</v>
      </c>
      <c r="N116" s="16">
        <f t="shared" si="7"/>
        <v>0</v>
      </c>
    </row>
    <row r="117" spans="1:14" x14ac:dyDescent="0.25">
      <c r="A117" s="29">
        <v>10</v>
      </c>
      <c r="B117" t="s">
        <v>28</v>
      </c>
      <c r="C117" s="1" t="s">
        <v>29</v>
      </c>
      <c r="D117" t="s">
        <v>1287</v>
      </c>
      <c r="E117" t="s">
        <v>569</v>
      </c>
      <c r="F117" s="31">
        <v>5463.96</v>
      </c>
      <c r="G117" s="17">
        <v>2000</v>
      </c>
      <c r="H117" s="31">
        <v>537698.19999999995</v>
      </c>
      <c r="I117" s="31">
        <f t="shared" si="4"/>
        <v>10390221.800000001</v>
      </c>
      <c r="J117" s="16">
        <f t="shared" si="5"/>
        <v>9524369.9833333343</v>
      </c>
      <c r="K117">
        <v>12</v>
      </c>
      <c r="L117" s="16">
        <f t="shared" si="6"/>
        <v>1142924.398</v>
      </c>
      <c r="M117">
        <v>0</v>
      </c>
      <c r="N117" s="16">
        <f t="shared" si="7"/>
        <v>0</v>
      </c>
    </row>
    <row r="118" spans="1:14" x14ac:dyDescent="0.25">
      <c r="A118" s="29">
        <v>10</v>
      </c>
      <c r="B118" t="s">
        <v>28</v>
      </c>
      <c r="C118" s="1" t="s">
        <v>29</v>
      </c>
      <c r="D118" t="s">
        <v>1288</v>
      </c>
      <c r="E118" t="s">
        <v>569</v>
      </c>
      <c r="F118" s="31">
        <v>5463.96</v>
      </c>
      <c r="G118" s="17">
        <v>2000</v>
      </c>
      <c r="H118" s="31">
        <v>537698.19999999995</v>
      </c>
      <c r="I118" s="31">
        <f t="shared" si="4"/>
        <v>10390221.800000001</v>
      </c>
      <c r="J118" s="16">
        <f t="shared" si="5"/>
        <v>9524369.9833333343</v>
      </c>
      <c r="K118">
        <v>12</v>
      </c>
      <c r="L118" s="16">
        <f t="shared" si="6"/>
        <v>1142924.398</v>
      </c>
      <c r="M118">
        <v>0</v>
      </c>
      <c r="N118" s="16">
        <f t="shared" si="7"/>
        <v>0</v>
      </c>
    </row>
    <row r="119" spans="1:14" x14ac:dyDescent="0.25">
      <c r="A119" s="29">
        <v>10</v>
      </c>
      <c r="B119" t="s">
        <v>28</v>
      </c>
      <c r="C119" s="1" t="s">
        <v>29</v>
      </c>
      <c r="D119" t="s">
        <v>1289</v>
      </c>
      <c r="E119" t="s">
        <v>569</v>
      </c>
      <c r="F119" s="31">
        <v>24774.77</v>
      </c>
      <c r="G119" s="17">
        <v>300</v>
      </c>
      <c r="H119" s="31">
        <v>365705.41000000003</v>
      </c>
      <c r="I119" s="31">
        <f t="shared" si="4"/>
        <v>7066725.5899999999</v>
      </c>
      <c r="J119" s="16">
        <f t="shared" si="5"/>
        <v>6477831.7908333326</v>
      </c>
      <c r="K119">
        <v>12</v>
      </c>
      <c r="L119" s="16">
        <f t="shared" si="6"/>
        <v>777339.8149</v>
      </c>
      <c r="M119">
        <v>0</v>
      </c>
      <c r="N119" s="16">
        <f t="shared" si="7"/>
        <v>0</v>
      </c>
    </row>
    <row r="120" spans="1:14" x14ac:dyDescent="0.25">
      <c r="A120" s="29">
        <v>10</v>
      </c>
      <c r="B120" t="s">
        <v>28</v>
      </c>
      <c r="C120" s="1" t="s">
        <v>29</v>
      </c>
      <c r="D120" t="s">
        <v>1290</v>
      </c>
      <c r="E120" t="s">
        <v>569</v>
      </c>
      <c r="F120" s="31">
        <v>52579.199999999997</v>
      </c>
      <c r="G120" s="17">
        <v>300</v>
      </c>
      <c r="H120" s="31">
        <v>776131.52</v>
      </c>
      <c r="I120" s="31">
        <f t="shared" si="4"/>
        <v>14997628.48</v>
      </c>
      <c r="J120" s="16">
        <f t="shared" si="5"/>
        <v>13747826.106666667</v>
      </c>
      <c r="K120">
        <v>12</v>
      </c>
      <c r="L120" s="16">
        <f t="shared" si="6"/>
        <v>1649739.1328</v>
      </c>
      <c r="M120">
        <v>0</v>
      </c>
      <c r="N120" s="16">
        <f t="shared" si="7"/>
        <v>0</v>
      </c>
    </row>
    <row r="121" spans="1:14" x14ac:dyDescent="0.25">
      <c r="A121" s="29">
        <v>10</v>
      </c>
      <c r="B121" t="s">
        <v>28</v>
      </c>
      <c r="C121" s="1" t="s">
        <v>29</v>
      </c>
      <c r="D121" t="s">
        <v>1291</v>
      </c>
      <c r="E121" t="s">
        <v>569</v>
      </c>
      <c r="F121" s="31">
        <v>22522.52</v>
      </c>
      <c r="G121" s="17">
        <v>3000</v>
      </c>
      <c r="H121" s="31">
        <v>3324594.5900000003</v>
      </c>
      <c r="I121" s="31">
        <f t="shared" si="4"/>
        <v>64242965.409999996</v>
      </c>
      <c r="J121" s="16">
        <f t="shared" si="5"/>
        <v>58889384.959166661</v>
      </c>
      <c r="K121">
        <v>12</v>
      </c>
      <c r="L121" s="16">
        <f t="shared" si="6"/>
        <v>7066726.1951000001</v>
      </c>
      <c r="M121">
        <v>0</v>
      </c>
      <c r="N121" s="16">
        <f t="shared" si="7"/>
        <v>0</v>
      </c>
    </row>
    <row r="122" spans="1:14" x14ac:dyDescent="0.25">
      <c r="A122" s="29">
        <v>10</v>
      </c>
      <c r="B122" t="s">
        <v>28</v>
      </c>
      <c r="C122" s="1" t="s">
        <v>29</v>
      </c>
      <c r="D122" t="s">
        <v>1292</v>
      </c>
      <c r="E122" t="s">
        <v>569</v>
      </c>
      <c r="F122" s="31">
        <v>9009.01</v>
      </c>
      <c r="G122" s="17">
        <v>2400</v>
      </c>
      <c r="H122" s="31">
        <v>1063870.27</v>
      </c>
      <c r="I122" s="31">
        <f t="shared" si="4"/>
        <v>20557753.73</v>
      </c>
      <c r="J122" s="16">
        <f t="shared" si="5"/>
        <v>18844607.585833333</v>
      </c>
      <c r="K122">
        <v>12</v>
      </c>
      <c r="L122" s="16">
        <f t="shared" si="6"/>
        <v>2261352.9103000001</v>
      </c>
      <c r="M122">
        <v>0</v>
      </c>
      <c r="N122" s="16">
        <f t="shared" si="7"/>
        <v>0</v>
      </c>
    </row>
    <row r="123" spans="1:14" x14ac:dyDescent="0.25">
      <c r="A123" s="29">
        <v>10</v>
      </c>
      <c r="B123" t="s">
        <v>28</v>
      </c>
      <c r="C123" s="1" t="s">
        <v>29</v>
      </c>
      <c r="D123" t="s">
        <v>1293</v>
      </c>
      <c r="E123" t="s">
        <v>569</v>
      </c>
      <c r="F123" s="31">
        <v>9009.01</v>
      </c>
      <c r="G123" s="17">
        <v>800</v>
      </c>
      <c r="H123" s="31">
        <v>354623.42000000004</v>
      </c>
      <c r="I123" s="31">
        <f t="shared" si="4"/>
        <v>6852584.5800000001</v>
      </c>
      <c r="J123" s="16">
        <f t="shared" si="5"/>
        <v>6281535.8650000002</v>
      </c>
      <c r="K123">
        <v>12</v>
      </c>
      <c r="L123" s="16">
        <f t="shared" si="6"/>
        <v>753784.30379999999</v>
      </c>
      <c r="M123">
        <v>0</v>
      </c>
      <c r="N123" s="16">
        <f t="shared" si="7"/>
        <v>0</v>
      </c>
    </row>
    <row r="124" spans="1:14" x14ac:dyDescent="0.25">
      <c r="A124" s="29">
        <v>10</v>
      </c>
      <c r="B124" t="s">
        <v>28</v>
      </c>
      <c r="C124" s="1" t="s">
        <v>29</v>
      </c>
      <c r="D124" t="s">
        <v>1294</v>
      </c>
      <c r="E124" t="s">
        <v>569</v>
      </c>
      <c r="F124" s="31">
        <v>9009.01</v>
      </c>
      <c r="G124" s="17">
        <v>3200</v>
      </c>
      <c r="H124" s="31">
        <v>1418494.5899999999</v>
      </c>
      <c r="I124" s="31">
        <f t="shared" si="4"/>
        <v>27410337.41</v>
      </c>
      <c r="J124" s="16">
        <f t="shared" si="5"/>
        <v>25126142.625833333</v>
      </c>
      <c r="K124">
        <v>12</v>
      </c>
      <c r="L124" s="16">
        <f t="shared" si="6"/>
        <v>3015137.1151000001</v>
      </c>
      <c r="M124">
        <v>0</v>
      </c>
      <c r="N124" s="16">
        <f t="shared" si="7"/>
        <v>0</v>
      </c>
    </row>
    <row r="125" spans="1:14" x14ac:dyDescent="0.25">
      <c r="A125" s="29">
        <v>11</v>
      </c>
      <c r="B125" t="s">
        <v>28</v>
      </c>
      <c r="C125" s="1" t="s">
        <v>29</v>
      </c>
      <c r="D125" t="s">
        <v>1295</v>
      </c>
      <c r="E125" t="s">
        <v>569</v>
      </c>
      <c r="F125" s="31">
        <v>281.39</v>
      </c>
      <c r="G125" s="17">
        <v>1440</v>
      </c>
      <c r="H125" s="31">
        <v>12155.86</v>
      </c>
      <c r="I125" s="31">
        <f t="shared" si="4"/>
        <v>393045.74</v>
      </c>
      <c r="J125" s="16">
        <f t="shared" si="5"/>
        <v>360291.92833333329</v>
      </c>
      <c r="K125">
        <v>12</v>
      </c>
      <c r="L125" s="16">
        <f t="shared" si="6"/>
        <v>43235.0314</v>
      </c>
      <c r="M125">
        <v>0</v>
      </c>
      <c r="N125" s="16">
        <f t="shared" si="7"/>
        <v>0</v>
      </c>
    </row>
    <row r="126" spans="1:14" x14ac:dyDescent="0.25">
      <c r="A126" s="29">
        <v>11</v>
      </c>
      <c r="B126" t="s">
        <v>28</v>
      </c>
      <c r="C126" s="1" t="s">
        <v>29</v>
      </c>
      <c r="D126" t="s">
        <v>1296</v>
      </c>
      <c r="E126" t="s">
        <v>569</v>
      </c>
      <c r="F126" s="31">
        <v>281.39</v>
      </c>
      <c r="G126" s="17">
        <v>720</v>
      </c>
      <c r="H126" s="31">
        <v>6078.38</v>
      </c>
      <c r="I126" s="31">
        <f t="shared" si="4"/>
        <v>196522.41999999998</v>
      </c>
      <c r="J126" s="16">
        <f t="shared" si="5"/>
        <v>180145.55166666664</v>
      </c>
      <c r="K126">
        <v>12</v>
      </c>
      <c r="L126" s="16">
        <f t="shared" si="6"/>
        <v>21617.466199999995</v>
      </c>
      <c r="M126">
        <v>0</v>
      </c>
      <c r="N126" s="16">
        <f t="shared" si="7"/>
        <v>0</v>
      </c>
    </row>
    <row r="127" spans="1:14" x14ac:dyDescent="0.25">
      <c r="A127" s="29">
        <v>11</v>
      </c>
      <c r="B127" t="s">
        <v>28</v>
      </c>
      <c r="C127" s="1" t="s">
        <v>29</v>
      </c>
      <c r="D127" t="s">
        <v>1258</v>
      </c>
      <c r="E127" t="s">
        <v>569</v>
      </c>
      <c r="F127" s="31">
        <v>3752.73</v>
      </c>
      <c r="G127" s="17">
        <v>144</v>
      </c>
      <c r="H127" s="31">
        <v>16211.71</v>
      </c>
      <c r="I127" s="31">
        <f t="shared" si="4"/>
        <v>524181.41</v>
      </c>
      <c r="J127" s="16">
        <f t="shared" si="5"/>
        <v>480499.6258333333</v>
      </c>
      <c r="K127">
        <v>12</v>
      </c>
      <c r="L127" s="16">
        <f t="shared" si="6"/>
        <v>57659.955099999999</v>
      </c>
      <c r="M127">
        <v>0</v>
      </c>
      <c r="N127" s="16">
        <f t="shared" si="7"/>
        <v>0</v>
      </c>
    </row>
    <row r="128" spans="1:14" x14ac:dyDescent="0.25">
      <c r="A128" s="29">
        <v>11</v>
      </c>
      <c r="B128" t="s">
        <v>28</v>
      </c>
      <c r="C128" s="1" t="s">
        <v>29</v>
      </c>
      <c r="D128" t="s">
        <v>1211</v>
      </c>
      <c r="E128" t="s">
        <v>569</v>
      </c>
      <c r="F128" s="31">
        <v>3752.73</v>
      </c>
      <c r="G128" s="17">
        <v>144</v>
      </c>
      <c r="H128" s="31">
        <v>16211.71</v>
      </c>
      <c r="I128" s="31">
        <f t="shared" si="4"/>
        <v>524181.41</v>
      </c>
      <c r="J128" s="16">
        <f t="shared" si="5"/>
        <v>480499.6258333333</v>
      </c>
      <c r="K128">
        <v>12</v>
      </c>
      <c r="L128" s="16">
        <f t="shared" si="6"/>
        <v>57659.955099999999</v>
      </c>
      <c r="M128">
        <v>0</v>
      </c>
      <c r="N128" s="16">
        <f t="shared" si="7"/>
        <v>0</v>
      </c>
    </row>
    <row r="129" spans="1:14" x14ac:dyDescent="0.25">
      <c r="A129" s="29">
        <v>11</v>
      </c>
      <c r="B129" t="s">
        <v>28</v>
      </c>
      <c r="C129" s="1" t="s">
        <v>29</v>
      </c>
      <c r="D129" t="s">
        <v>1277</v>
      </c>
      <c r="E129" t="s">
        <v>569</v>
      </c>
      <c r="F129" s="31">
        <v>1503.11</v>
      </c>
      <c r="G129" s="17">
        <v>144</v>
      </c>
      <c r="H129" s="31">
        <v>6492.79</v>
      </c>
      <c r="I129" s="31">
        <f t="shared" si="4"/>
        <v>209955.05</v>
      </c>
      <c r="J129" s="16">
        <f t="shared" si="5"/>
        <v>192458.79583333331</v>
      </c>
      <c r="K129">
        <v>12</v>
      </c>
      <c r="L129" s="16">
        <f t="shared" si="6"/>
        <v>23095.055499999999</v>
      </c>
      <c r="M129">
        <v>0</v>
      </c>
      <c r="N129" s="16">
        <f t="shared" si="7"/>
        <v>0</v>
      </c>
    </row>
    <row r="130" spans="1:14" x14ac:dyDescent="0.25">
      <c r="A130" s="29">
        <v>11</v>
      </c>
      <c r="B130" t="s">
        <v>28</v>
      </c>
      <c r="C130" s="1" t="s">
        <v>29</v>
      </c>
      <c r="D130" t="s">
        <v>1279</v>
      </c>
      <c r="E130" t="s">
        <v>569</v>
      </c>
      <c r="F130" s="31">
        <v>1503.11</v>
      </c>
      <c r="G130" s="17">
        <v>2160</v>
      </c>
      <c r="H130" s="31">
        <v>97400.9</v>
      </c>
      <c r="I130" s="31">
        <f t="shared" si="4"/>
        <v>3149316.6999999997</v>
      </c>
      <c r="J130" s="16">
        <f t="shared" si="5"/>
        <v>2886873.6416666661</v>
      </c>
      <c r="K130">
        <v>12</v>
      </c>
      <c r="L130" s="16">
        <f t="shared" si="6"/>
        <v>346424.83699999994</v>
      </c>
      <c r="M130">
        <v>0</v>
      </c>
      <c r="N130" s="16">
        <f t="shared" si="7"/>
        <v>0</v>
      </c>
    </row>
    <row r="131" spans="1:14" x14ac:dyDescent="0.25">
      <c r="A131" s="29">
        <v>11</v>
      </c>
      <c r="B131" t="s">
        <v>28</v>
      </c>
      <c r="C131" s="1" t="s">
        <v>29</v>
      </c>
      <c r="D131" t="s">
        <v>1262</v>
      </c>
      <c r="E131" t="s">
        <v>569</v>
      </c>
      <c r="F131" s="31">
        <v>956.17</v>
      </c>
      <c r="G131" s="17">
        <v>250</v>
      </c>
      <c r="H131" s="31">
        <v>7171.17</v>
      </c>
      <c r="I131" s="31">
        <f t="shared" ref="I131:I194" si="8">G131*F131-H131</f>
        <v>231871.33</v>
      </c>
      <c r="J131" s="16">
        <f t="shared" ref="J131:J194" si="9">11/12*I131</f>
        <v>212548.71916666665</v>
      </c>
      <c r="K131">
        <v>12</v>
      </c>
      <c r="L131" s="16">
        <f t="shared" ref="L131:L194" si="10">J131*K131/100</f>
        <v>25505.846299999997</v>
      </c>
      <c r="M131">
        <v>0</v>
      </c>
      <c r="N131" s="16">
        <f t="shared" ref="N131:N194" si="11">M131*J131/100</f>
        <v>0</v>
      </c>
    </row>
    <row r="132" spans="1:14" x14ac:dyDescent="0.25">
      <c r="A132" s="29">
        <v>11</v>
      </c>
      <c r="B132" t="s">
        <v>28</v>
      </c>
      <c r="C132" s="1" t="s">
        <v>29</v>
      </c>
      <c r="D132" t="s">
        <v>1239</v>
      </c>
      <c r="E132" t="s">
        <v>569</v>
      </c>
      <c r="F132" s="31">
        <v>956.17</v>
      </c>
      <c r="G132" s="17">
        <v>1250</v>
      </c>
      <c r="H132" s="31">
        <v>35855.86</v>
      </c>
      <c r="I132" s="31">
        <f t="shared" si="8"/>
        <v>1159356.6399999999</v>
      </c>
      <c r="J132" s="16">
        <f t="shared" si="9"/>
        <v>1062743.5866666664</v>
      </c>
      <c r="K132">
        <v>12</v>
      </c>
      <c r="L132" s="16">
        <f t="shared" si="10"/>
        <v>127529.23039999997</v>
      </c>
      <c r="M132">
        <v>0</v>
      </c>
      <c r="N132" s="16">
        <f t="shared" si="11"/>
        <v>0</v>
      </c>
    </row>
    <row r="133" spans="1:14" x14ac:dyDescent="0.25">
      <c r="A133" s="29">
        <v>11</v>
      </c>
      <c r="B133" t="s">
        <v>28</v>
      </c>
      <c r="C133" s="1" t="s">
        <v>29</v>
      </c>
      <c r="D133" t="s">
        <v>1240</v>
      </c>
      <c r="E133" t="s">
        <v>569</v>
      </c>
      <c r="F133" s="31">
        <v>956.17</v>
      </c>
      <c r="G133" s="17">
        <v>500</v>
      </c>
      <c r="H133" s="31">
        <v>14343.24</v>
      </c>
      <c r="I133" s="31">
        <f t="shared" si="8"/>
        <v>463741.76</v>
      </c>
      <c r="J133" s="16">
        <f t="shared" si="9"/>
        <v>425096.61333333334</v>
      </c>
      <c r="K133">
        <v>12</v>
      </c>
      <c r="L133" s="16">
        <f t="shared" si="10"/>
        <v>51011.5936</v>
      </c>
      <c r="M133">
        <v>0</v>
      </c>
      <c r="N133" s="16">
        <f t="shared" si="11"/>
        <v>0</v>
      </c>
    </row>
    <row r="134" spans="1:14" x14ac:dyDescent="0.25">
      <c r="A134" s="29">
        <v>11</v>
      </c>
      <c r="B134" t="s">
        <v>28</v>
      </c>
      <c r="C134" s="1" t="s">
        <v>29</v>
      </c>
      <c r="D134" t="s">
        <v>1242</v>
      </c>
      <c r="E134" t="s">
        <v>569</v>
      </c>
      <c r="F134" s="31">
        <v>956.17</v>
      </c>
      <c r="G134" s="17">
        <v>500</v>
      </c>
      <c r="H134" s="31">
        <v>14343.24</v>
      </c>
      <c r="I134" s="31">
        <f t="shared" si="8"/>
        <v>463741.76</v>
      </c>
      <c r="J134" s="16">
        <f t="shared" si="9"/>
        <v>425096.61333333334</v>
      </c>
      <c r="K134">
        <v>12</v>
      </c>
      <c r="L134" s="16">
        <f t="shared" si="10"/>
        <v>51011.5936</v>
      </c>
      <c r="M134">
        <v>0</v>
      </c>
      <c r="N134" s="16">
        <f t="shared" si="11"/>
        <v>0</v>
      </c>
    </row>
    <row r="135" spans="1:14" x14ac:dyDescent="0.25">
      <c r="A135" s="29">
        <v>11</v>
      </c>
      <c r="B135" t="s">
        <v>28</v>
      </c>
      <c r="C135" s="1" t="s">
        <v>29</v>
      </c>
      <c r="D135" t="s">
        <v>1244</v>
      </c>
      <c r="E135" t="s">
        <v>569</v>
      </c>
      <c r="F135" s="31">
        <v>956.17</v>
      </c>
      <c r="G135" s="17">
        <v>500</v>
      </c>
      <c r="H135" s="31">
        <v>14343.24</v>
      </c>
      <c r="I135" s="31">
        <f t="shared" si="8"/>
        <v>463741.76</v>
      </c>
      <c r="J135" s="16">
        <f t="shared" si="9"/>
        <v>425096.61333333334</v>
      </c>
      <c r="K135">
        <v>12</v>
      </c>
      <c r="L135" s="16">
        <f t="shared" si="10"/>
        <v>51011.5936</v>
      </c>
      <c r="M135">
        <v>0</v>
      </c>
      <c r="N135" s="16">
        <f t="shared" si="11"/>
        <v>0</v>
      </c>
    </row>
    <row r="136" spans="1:14" x14ac:dyDescent="0.25">
      <c r="A136" s="29">
        <v>11</v>
      </c>
      <c r="B136" t="s">
        <v>28</v>
      </c>
      <c r="C136" s="1" t="s">
        <v>29</v>
      </c>
      <c r="D136" t="s">
        <v>1297</v>
      </c>
      <c r="E136" t="s">
        <v>569</v>
      </c>
      <c r="F136" s="31">
        <v>270.49</v>
      </c>
      <c r="G136" s="17">
        <v>720</v>
      </c>
      <c r="H136" s="31">
        <v>5843.24</v>
      </c>
      <c r="I136" s="31">
        <f t="shared" si="8"/>
        <v>188909.56000000003</v>
      </c>
      <c r="J136" s="16">
        <f t="shared" si="9"/>
        <v>173167.09666666668</v>
      </c>
      <c r="K136">
        <v>12</v>
      </c>
      <c r="L136" s="16">
        <f t="shared" si="10"/>
        <v>20780.051600000003</v>
      </c>
      <c r="M136">
        <v>0</v>
      </c>
      <c r="N136" s="16">
        <f t="shared" si="11"/>
        <v>0</v>
      </c>
    </row>
    <row r="137" spans="1:14" x14ac:dyDescent="0.25">
      <c r="A137" s="29">
        <v>11</v>
      </c>
      <c r="B137" t="s">
        <v>28</v>
      </c>
      <c r="C137" s="1" t="s">
        <v>29</v>
      </c>
      <c r="D137" t="s">
        <v>1298</v>
      </c>
      <c r="E137" t="s">
        <v>569</v>
      </c>
      <c r="F137" s="31">
        <v>270.49</v>
      </c>
      <c r="G137" s="17">
        <v>720</v>
      </c>
      <c r="H137" s="31">
        <v>5843.24</v>
      </c>
      <c r="I137" s="31">
        <f t="shared" si="8"/>
        <v>188909.56000000003</v>
      </c>
      <c r="J137" s="16">
        <f t="shared" si="9"/>
        <v>173167.09666666668</v>
      </c>
      <c r="K137">
        <v>12</v>
      </c>
      <c r="L137" s="16">
        <f t="shared" si="10"/>
        <v>20780.051600000003</v>
      </c>
      <c r="M137">
        <v>0</v>
      </c>
      <c r="N137" s="16">
        <f t="shared" si="11"/>
        <v>0</v>
      </c>
    </row>
    <row r="138" spans="1:14" x14ac:dyDescent="0.25">
      <c r="A138" s="29">
        <v>11</v>
      </c>
      <c r="B138" t="s">
        <v>28</v>
      </c>
      <c r="C138" s="1" t="s">
        <v>29</v>
      </c>
      <c r="D138" t="s">
        <v>1299</v>
      </c>
      <c r="E138" t="s">
        <v>569</v>
      </c>
      <c r="F138" s="31">
        <v>270.49</v>
      </c>
      <c r="G138" s="17">
        <v>2160</v>
      </c>
      <c r="H138" s="31">
        <v>17527.93</v>
      </c>
      <c r="I138" s="31">
        <f t="shared" si="8"/>
        <v>566730.47</v>
      </c>
      <c r="J138" s="16">
        <f t="shared" si="9"/>
        <v>519502.93083333329</v>
      </c>
      <c r="K138">
        <v>12</v>
      </c>
      <c r="L138" s="16">
        <f t="shared" si="10"/>
        <v>62340.351699999999</v>
      </c>
      <c r="M138">
        <v>0</v>
      </c>
      <c r="N138" s="16">
        <f t="shared" si="11"/>
        <v>0</v>
      </c>
    </row>
    <row r="139" spans="1:14" x14ac:dyDescent="0.25">
      <c r="A139" s="29">
        <v>11</v>
      </c>
      <c r="B139" t="s">
        <v>28</v>
      </c>
      <c r="C139" s="1" t="s">
        <v>29</v>
      </c>
      <c r="D139" t="s">
        <v>1300</v>
      </c>
      <c r="E139" t="s">
        <v>569</v>
      </c>
      <c r="F139" s="31">
        <v>270.49</v>
      </c>
      <c r="G139" s="17">
        <v>720</v>
      </c>
      <c r="H139" s="31">
        <v>5843.24</v>
      </c>
      <c r="I139" s="31">
        <f t="shared" si="8"/>
        <v>188909.56000000003</v>
      </c>
      <c r="J139" s="16">
        <f t="shared" si="9"/>
        <v>173167.09666666668</v>
      </c>
      <c r="K139">
        <v>12</v>
      </c>
      <c r="L139" s="16">
        <f t="shared" si="10"/>
        <v>20780.051600000003</v>
      </c>
      <c r="M139">
        <v>0</v>
      </c>
      <c r="N139" s="16">
        <f t="shared" si="11"/>
        <v>0</v>
      </c>
    </row>
    <row r="140" spans="1:14" x14ac:dyDescent="0.25">
      <c r="A140" s="29">
        <v>11</v>
      </c>
      <c r="B140" t="s">
        <v>28</v>
      </c>
      <c r="C140" s="1" t="s">
        <v>29</v>
      </c>
      <c r="D140" t="s">
        <v>1301</v>
      </c>
      <c r="E140" t="s">
        <v>569</v>
      </c>
      <c r="F140" s="31">
        <v>270.49</v>
      </c>
      <c r="G140" s="17">
        <v>720</v>
      </c>
      <c r="H140" s="31">
        <v>5843.24</v>
      </c>
      <c r="I140" s="31">
        <f t="shared" si="8"/>
        <v>188909.56000000003</v>
      </c>
      <c r="J140" s="16">
        <f t="shared" si="9"/>
        <v>173167.09666666668</v>
      </c>
      <c r="K140">
        <v>12</v>
      </c>
      <c r="L140" s="16">
        <f t="shared" si="10"/>
        <v>20780.051600000003</v>
      </c>
      <c r="M140">
        <v>0</v>
      </c>
      <c r="N140" s="16">
        <f t="shared" si="11"/>
        <v>0</v>
      </c>
    </row>
    <row r="141" spans="1:14" x14ac:dyDescent="0.25">
      <c r="A141" s="29">
        <v>11</v>
      </c>
      <c r="B141" t="s">
        <v>28</v>
      </c>
      <c r="C141" s="1" t="s">
        <v>29</v>
      </c>
      <c r="D141" t="s">
        <v>1302</v>
      </c>
      <c r="E141" t="s">
        <v>569</v>
      </c>
      <c r="F141" s="31">
        <v>257.52</v>
      </c>
      <c r="G141" s="17">
        <v>720</v>
      </c>
      <c r="H141" s="31">
        <v>5562.16</v>
      </c>
      <c r="I141" s="31">
        <f t="shared" si="8"/>
        <v>179852.24</v>
      </c>
      <c r="J141" s="16">
        <f t="shared" si="9"/>
        <v>164864.55333333332</v>
      </c>
      <c r="K141">
        <v>12</v>
      </c>
      <c r="L141" s="16">
        <f t="shared" si="10"/>
        <v>19783.746399999996</v>
      </c>
      <c r="M141">
        <v>0</v>
      </c>
      <c r="N141" s="16">
        <f t="shared" si="11"/>
        <v>0</v>
      </c>
    </row>
    <row r="142" spans="1:14" x14ac:dyDescent="0.25">
      <c r="A142" s="29">
        <v>11</v>
      </c>
      <c r="B142" t="s">
        <v>28</v>
      </c>
      <c r="C142" s="1" t="s">
        <v>29</v>
      </c>
      <c r="D142" t="s">
        <v>1303</v>
      </c>
      <c r="E142" t="s">
        <v>569</v>
      </c>
      <c r="F142" s="31">
        <v>3669.97</v>
      </c>
      <c r="G142" s="17">
        <v>12</v>
      </c>
      <c r="H142" s="31">
        <v>1320.72</v>
      </c>
      <c r="I142" s="31">
        <f t="shared" si="8"/>
        <v>42718.92</v>
      </c>
      <c r="J142" s="16">
        <f t="shared" si="9"/>
        <v>39159.009999999995</v>
      </c>
      <c r="K142">
        <v>12</v>
      </c>
      <c r="L142" s="16">
        <f t="shared" si="10"/>
        <v>4699.0811999999996</v>
      </c>
      <c r="M142">
        <v>0</v>
      </c>
      <c r="N142" s="16">
        <f t="shared" si="11"/>
        <v>0</v>
      </c>
    </row>
    <row r="143" spans="1:14" x14ac:dyDescent="0.25">
      <c r="A143" s="29">
        <v>11</v>
      </c>
      <c r="B143" t="s">
        <v>28</v>
      </c>
      <c r="C143" s="1" t="s">
        <v>29</v>
      </c>
      <c r="D143" t="s">
        <v>1304</v>
      </c>
      <c r="E143" t="s">
        <v>569</v>
      </c>
      <c r="F143" s="31">
        <v>270.49</v>
      </c>
      <c r="G143" s="17">
        <v>720</v>
      </c>
      <c r="H143" s="31">
        <v>5843.24</v>
      </c>
      <c r="I143" s="31">
        <f t="shared" si="8"/>
        <v>188909.56000000003</v>
      </c>
      <c r="J143" s="16">
        <f t="shared" si="9"/>
        <v>173167.09666666668</v>
      </c>
      <c r="K143">
        <v>12</v>
      </c>
      <c r="L143" s="16">
        <f t="shared" si="10"/>
        <v>20780.051600000003</v>
      </c>
      <c r="M143">
        <v>0</v>
      </c>
      <c r="N143" s="16">
        <f t="shared" si="11"/>
        <v>0</v>
      </c>
    </row>
    <row r="144" spans="1:14" x14ac:dyDescent="0.25">
      <c r="A144" s="29">
        <v>11</v>
      </c>
      <c r="B144" t="s">
        <v>28</v>
      </c>
      <c r="C144" s="1" t="s">
        <v>29</v>
      </c>
      <c r="D144" t="s">
        <v>1305</v>
      </c>
      <c r="E144" t="s">
        <v>569</v>
      </c>
      <c r="F144" s="31">
        <v>956.17</v>
      </c>
      <c r="G144" s="17">
        <v>500</v>
      </c>
      <c r="H144" s="31">
        <v>14343.24</v>
      </c>
      <c r="I144" s="31">
        <f t="shared" si="8"/>
        <v>463741.76</v>
      </c>
      <c r="J144" s="16">
        <f t="shared" si="9"/>
        <v>425096.61333333334</v>
      </c>
      <c r="K144">
        <v>12</v>
      </c>
      <c r="L144" s="16">
        <f t="shared" si="10"/>
        <v>51011.5936</v>
      </c>
      <c r="M144">
        <v>0</v>
      </c>
      <c r="N144" s="16">
        <f t="shared" si="11"/>
        <v>0</v>
      </c>
    </row>
    <row r="145" spans="1:14" x14ac:dyDescent="0.25">
      <c r="A145" s="29">
        <v>11</v>
      </c>
      <c r="B145" t="s">
        <v>28</v>
      </c>
      <c r="C145" s="1" t="s">
        <v>29</v>
      </c>
      <c r="D145" t="s">
        <v>1254</v>
      </c>
      <c r="E145" t="s">
        <v>569</v>
      </c>
      <c r="F145" s="31">
        <v>270.49</v>
      </c>
      <c r="G145" s="17">
        <v>1440</v>
      </c>
      <c r="H145" s="31">
        <v>11684.68</v>
      </c>
      <c r="I145" s="31">
        <f t="shared" si="8"/>
        <v>377820.92000000004</v>
      </c>
      <c r="J145" s="16">
        <f t="shared" si="9"/>
        <v>346335.84333333338</v>
      </c>
      <c r="K145">
        <v>12</v>
      </c>
      <c r="L145" s="16">
        <f t="shared" si="10"/>
        <v>41560.301200000009</v>
      </c>
      <c r="M145">
        <v>0</v>
      </c>
      <c r="N145" s="16">
        <f t="shared" si="11"/>
        <v>0</v>
      </c>
    </row>
    <row r="146" spans="1:14" x14ac:dyDescent="0.25">
      <c r="A146" s="29">
        <v>11</v>
      </c>
      <c r="B146" t="s">
        <v>28</v>
      </c>
      <c r="C146" s="1" t="s">
        <v>29</v>
      </c>
      <c r="D146" t="s">
        <v>1306</v>
      </c>
      <c r="E146" t="s">
        <v>569</v>
      </c>
      <c r="F146" s="31">
        <v>270.49</v>
      </c>
      <c r="G146" s="17">
        <v>720</v>
      </c>
      <c r="H146" s="31">
        <v>5843.24</v>
      </c>
      <c r="I146" s="31">
        <f t="shared" si="8"/>
        <v>188909.56000000003</v>
      </c>
      <c r="J146" s="16">
        <f t="shared" si="9"/>
        <v>173167.09666666668</v>
      </c>
      <c r="K146">
        <v>12</v>
      </c>
      <c r="L146" s="16">
        <f t="shared" si="10"/>
        <v>20780.051600000003</v>
      </c>
      <c r="M146">
        <v>0</v>
      </c>
      <c r="N146" s="16">
        <f t="shared" si="11"/>
        <v>0</v>
      </c>
    </row>
    <row r="147" spans="1:14" x14ac:dyDescent="0.25">
      <c r="A147" s="29">
        <v>11</v>
      </c>
      <c r="B147" t="s">
        <v>28</v>
      </c>
      <c r="C147" s="1" t="s">
        <v>29</v>
      </c>
      <c r="D147" t="s">
        <v>1267</v>
      </c>
      <c r="E147" t="s">
        <v>569</v>
      </c>
      <c r="F147" s="31">
        <v>257.52</v>
      </c>
      <c r="G147" s="17">
        <v>1440</v>
      </c>
      <c r="H147" s="31">
        <v>11125.23</v>
      </c>
      <c r="I147" s="31">
        <f t="shared" si="8"/>
        <v>359703.57</v>
      </c>
      <c r="J147" s="16">
        <f t="shared" si="9"/>
        <v>329728.27250000002</v>
      </c>
      <c r="K147">
        <v>12</v>
      </c>
      <c r="L147" s="16">
        <f t="shared" si="10"/>
        <v>39567.392700000004</v>
      </c>
      <c r="M147">
        <v>0</v>
      </c>
      <c r="N147" s="16">
        <f t="shared" si="11"/>
        <v>0</v>
      </c>
    </row>
    <row r="148" spans="1:14" x14ac:dyDescent="0.25">
      <c r="A148" s="29">
        <v>11</v>
      </c>
      <c r="B148" t="s">
        <v>28</v>
      </c>
      <c r="C148" s="1" t="s">
        <v>29</v>
      </c>
      <c r="D148" t="s">
        <v>1307</v>
      </c>
      <c r="E148" t="s">
        <v>569</v>
      </c>
      <c r="F148" s="31">
        <v>3104.5</v>
      </c>
      <c r="G148" s="17">
        <v>12</v>
      </c>
      <c r="H148" s="31">
        <v>1118.02</v>
      </c>
      <c r="I148" s="31">
        <f t="shared" si="8"/>
        <v>36135.980000000003</v>
      </c>
      <c r="J148" s="16">
        <f t="shared" si="9"/>
        <v>33124.648333333338</v>
      </c>
      <c r="K148">
        <v>12</v>
      </c>
      <c r="L148" s="16">
        <f t="shared" si="10"/>
        <v>3974.9578000000001</v>
      </c>
      <c r="M148">
        <v>0</v>
      </c>
      <c r="N148" s="16">
        <f t="shared" si="11"/>
        <v>0</v>
      </c>
    </row>
    <row r="149" spans="1:14" x14ac:dyDescent="0.25">
      <c r="A149" s="29">
        <v>11</v>
      </c>
      <c r="B149" t="s">
        <v>28</v>
      </c>
      <c r="C149" s="1" t="s">
        <v>29</v>
      </c>
      <c r="D149" t="s">
        <v>1308</v>
      </c>
      <c r="E149" t="s">
        <v>569</v>
      </c>
      <c r="F149" s="31">
        <v>1458.46</v>
      </c>
      <c r="G149" s="17">
        <v>144</v>
      </c>
      <c r="H149" s="31">
        <v>6300.9</v>
      </c>
      <c r="I149" s="31">
        <f t="shared" si="8"/>
        <v>203717.34</v>
      </c>
      <c r="J149" s="16">
        <f t="shared" si="9"/>
        <v>186740.89499999999</v>
      </c>
      <c r="K149">
        <v>12</v>
      </c>
      <c r="L149" s="16">
        <f t="shared" si="10"/>
        <v>22408.907399999996</v>
      </c>
      <c r="M149">
        <v>0</v>
      </c>
      <c r="N149" s="16">
        <f t="shared" si="11"/>
        <v>0</v>
      </c>
    </row>
    <row r="150" spans="1:14" x14ac:dyDescent="0.25">
      <c r="A150" s="29">
        <v>11</v>
      </c>
      <c r="B150" t="s">
        <v>28</v>
      </c>
      <c r="C150" s="1" t="s">
        <v>29</v>
      </c>
      <c r="D150" t="s">
        <v>1308</v>
      </c>
      <c r="E150" t="s">
        <v>569</v>
      </c>
      <c r="F150" s="31">
        <v>1389.19</v>
      </c>
      <c r="G150" s="17">
        <v>72</v>
      </c>
      <c r="H150" s="31">
        <f>G150*F150</f>
        <v>100021.68000000001</v>
      </c>
      <c r="I150" s="31">
        <f t="shared" si="8"/>
        <v>0</v>
      </c>
      <c r="J150" s="16">
        <f t="shared" si="9"/>
        <v>0</v>
      </c>
      <c r="K150">
        <v>12</v>
      </c>
      <c r="L150" s="16">
        <f t="shared" si="10"/>
        <v>0</v>
      </c>
      <c r="M150">
        <v>0</v>
      </c>
      <c r="N150" s="16">
        <f t="shared" si="11"/>
        <v>0</v>
      </c>
    </row>
    <row r="151" spans="1:14" x14ac:dyDescent="0.25">
      <c r="A151" s="29">
        <v>11</v>
      </c>
      <c r="B151" t="s">
        <v>28</v>
      </c>
      <c r="C151" s="1" t="s">
        <v>29</v>
      </c>
      <c r="D151" t="s">
        <v>1224</v>
      </c>
      <c r="E151" t="s">
        <v>569</v>
      </c>
      <c r="F151" s="31">
        <v>4571.62</v>
      </c>
      <c r="G151" s="17">
        <v>12</v>
      </c>
      <c r="H151" s="31">
        <v>1645.95</v>
      </c>
      <c r="I151" s="31">
        <f t="shared" si="8"/>
        <v>53213.490000000005</v>
      </c>
      <c r="J151" s="16">
        <f t="shared" si="9"/>
        <v>48779.032500000001</v>
      </c>
      <c r="K151">
        <v>12</v>
      </c>
      <c r="L151" s="16">
        <f t="shared" si="10"/>
        <v>5853.4839000000002</v>
      </c>
      <c r="M151">
        <v>0</v>
      </c>
      <c r="N151" s="16">
        <f t="shared" si="11"/>
        <v>0</v>
      </c>
    </row>
    <row r="152" spans="1:14" x14ac:dyDescent="0.25">
      <c r="A152" s="29">
        <v>11</v>
      </c>
      <c r="B152" t="s">
        <v>28</v>
      </c>
      <c r="C152" s="1" t="s">
        <v>29</v>
      </c>
      <c r="D152" t="s">
        <v>1309</v>
      </c>
      <c r="E152" t="s">
        <v>569</v>
      </c>
      <c r="F152" s="31">
        <v>2190.17</v>
      </c>
      <c r="G152" s="17">
        <v>288</v>
      </c>
      <c r="H152" s="31">
        <v>18923.419999999998</v>
      </c>
      <c r="I152" s="31">
        <f t="shared" si="8"/>
        <v>611845.53999999992</v>
      </c>
      <c r="J152" s="16">
        <f t="shared" si="9"/>
        <v>560858.41166666662</v>
      </c>
      <c r="K152">
        <v>12</v>
      </c>
      <c r="L152" s="16">
        <f t="shared" si="10"/>
        <v>67303.009399999995</v>
      </c>
      <c r="M152">
        <v>0</v>
      </c>
      <c r="N152" s="16">
        <f t="shared" si="11"/>
        <v>0</v>
      </c>
    </row>
    <row r="153" spans="1:14" x14ac:dyDescent="0.25">
      <c r="A153" s="29">
        <v>11</v>
      </c>
      <c r="B153" t="s">
        <v>28</v>
      </c>
      <c r="C153" s="1" t="s">
        <v>29</v>
      </c>
      <c r="D153" t="s">
        <v>1231</v>
      </c>
      <c r="E153" t="s">
        <v>569</v>
      </c>
      <c r="F153" s="31">
        <v>1503.11</v>
      </c>
      <c r="G153" s="17">
        <v>1440</v>
      </c>
      <c r="H153" s="31">
        <v>64934.23</v>
      </c>
      <c r="I153" s="31">
        <f t="shared" si="8"/>
        <v>2099544.17</v>
      </c>
      <c r="J153" s="16">
        <f t="shared" si="9"/>
        <v>1924582.1558333333</v>
      </c>
      <c r="K153">
        <v>12</v>
      </c>
      <c r="L153" s="16">
        <f t="shared" si="10"/>
        <v>230949.85869999998</v>
      </c>
      <c r="M153">
        <v>0</v>
      </c>
      <c r="N153" s="16">
        <f t="shared" si="11"/>
        <v>0</v>
      </c>
    </row>
    <row r="154" spans="1:14" x14ac:dyDescent="0.25">
      <c r="A154" s="29">
        <v>11</v>
      </c>
      <c r="B154" t="s">
        <v>28</v>
      </c>
      <c r="C154" s="1" t="s">
        <v>29</v>
      </c>
      <c r="D154" t="s">
        <v>1271</v>
      </c>
      <c r="E154" t="s">
        <v>569</v>
      </c>
      <c r="F154" s="31">
        <v>1503.11</v>
      </c>
      <c r="G154" s="17">
        <v>144</v>
      </c>
      <c r="H154" s="31">
        <v>6492.79</v>
      </c>
      <c r="I154" s="31">
        <f t="shared" si="8"/>
        <v>209955.05</v>
      </c>
      <c r="J154" s="16">
        <f t="shared" si="9"/>
        <v>192458.79583333331</v>
      </c>
      <c r="K154">
        <v>12</v>
      </c>
      <c r="L154" s="16">
        <f t="shared" si="10"/>
        <v>23095.055499999999</v>
      </c>
      <c r="M154">
        <v>0</v>
      </c>
      <c r="N154" s="16">
        <f t="shared" si="11"/>
        <v>0</v>
      </c>
    </row>
    <row r="155" spans="1:14" x14ac:dyDescent="0.25">
      <c r="A155" s="29">
        <v>11</v>
      </c>
      <c r="B155" t="s">
        <v>28</v>
      </c>
      <c r="C155" s="1" t="s">
        <v>29</v>
      </c>
      <c r="D155" t="s">
        <v>1310</v>
      </c>
      <c r="E155" t="s">
        <v>569</v>
      </c>
      <c r="F155" s="31">
        <v>7250.15</v>
      </c>
      <c r="G155" s="17">
        <v>3</v>
      </c>
      <c r="H155" s="31">
        <v>653.15</v>
      </c>
      <c r="I155" s="31">
        <f t="shared" si="8"/>
        <v>21097.299999999996</v>
      </c>
      <c r="J155" s="16">
        <f t="shared" si="9"/>
        <v>19339.191666666662</v>
      </c>
      <c r="K155">
        <v>12</v>
      </c>
      <c r="L155" s="16">
        <f t="shared" si="10"/>
        <v>2320.7029999999995</v>
      </c>
      <c r="M155">
        <v>0</v>
      </c>
      <c r="N155" s="16">
        <f t="shared" si="11"/>
        <v>0</v>
      </c>
    </row>
    <row r="156" spans="1:14" x14ac:dyDescent="0.25">
      <c r="A156" s="29">
        <v>11</v>
      </c>
      <c r="B156" t="s">
        <v>28</v>
      </c>
      <c r="C156" s="1" t="s">
        <v>29</v>
      </c>
      <c r="D156" t="s">
        <v>1256</v>
      </c>
      <c r="E156" t="s">
        <v>569</v>
      </c>
      <c r="F156" s="31">
        <v>3680</v>
      </c>
      <c r="G156" s="17">
        <v>30</v>
      </c>
      <c r="H156" s="31">
        <v>3311.71</v>
      </c>
      <c r="I156" s="31">
        <f t="shared" si="8"/>
        <v>107088.29</v>
      </c>
      <c r="J156" s="16">
        <f t="shared" si="9"/>
        <v>98164.265833333324</v>
      </c>
      <c r="K156">
        <v>12</v>
      </c>
      <c r="L156" s="16">
        <f t="shared" si="10"/>
        <v>11779.7119</v>
      </c>
      <c r="M156">
        <v>0</v>
      </c>
      <c r="N156" s="16">
        <f t="shared" si="11"/>
        <v>0</v>
      </c>
    </row>
    <row r="157" spans="1:14" x14ac:dyDescent="0.25">
      <c r="A157" s="29">
        <v>11</v>
      </c>
      <c r="B157" t="s">
        <v>28</v>
      </c>
      <c r="C157" s="1" t="s">
        <v>29</v>
      </c>
      <c r="D157" t="s">
        <v>1311</v>
      </c>
      <c r="E157" t="s">
        <v>569</v>
      </c>
      <c r="F157" s="31">
        <v>10213.52</v>
      </c>
      <c r="G157" s="17">
        <v>2</v>
      </c>
      <c r="H157" s="31">
        <v>612.61</v>
      </c>
      <c r="I157" s="31">
        <f t="shared" si="8"/>
        <v>19814.43</v>
      </c>
      <c r="J157" s="16">
        <f t="shared" si="9"/>
        <v>18163.227500000001</v>
      </c>
      <c r="K157">
        <v>12</v>
      </c>
      <c r="L157" s="16">
        <f t="shared" si="10"/>
        <v>2179.5873000000001</v>
      </c>
      <c r="M157">
        <v>0</v>
      </c>
      <c r="N157" s="16">
        <f t="shared" si="11"/>
        <v>0</v>
      </c>
    </row>
    <row r="158" spans="1:14" x14ac:dyDescent="0.25">
      <c r="A158" s="29">
        <v>12</v>
      </c>
      <c r="B158" t="s">
        <v>28</v>
      </c>
      <c r="C158" s="1" t="s">
        <v>29</v>
      </c>
      <c r="D158" t="s">
        <v>1312</v>
      </c>
      <c r="E158" t="s">
        <v>569</v>
      </c>
      <c r="F158" s="31">
        <v>281.39</v>
      </c>
      <c r="G158" s="17">
        <v>4320</v>
      </c>
      <c r="H158" s="31">
        <v>36467.57</v>
      </c>
      <c r="I158" s="31">
        <f t="shared" si="8"/>
        <v>1179137.23</v>
      </c>
      <c r="J158" s="16">
        <f t="shared" si="9"/>
        <v>1080875.7941666667</v>
      </c>
      <c r="K158">
        <v>12</v>
      </c>
      <c r="L158" s="16">
        <f t="shared" si="10"/>
        <v>129705.09530000002</v>
      </c>
      <c r="M158">
        <v>0</v>
      </c>
      <c r="N158" s="16">
        <f t="shared" si="11"/>
        <v>0</v>
      </c>
    </row>
    <row r="159" spans="1:14" x14ac:dyDescent="0.25">
      <c r="A159" s="29">
        <v>12</v>
      </c>
      <c r="B159" t="s">
        <v>28</v>
      </c>
      <c r="C159" s="1" t="s">
        <v>29</v>
      </c>
      <c r="D159" t="s">
        <v>1296</v>
      </c>
      <c r="E159" t="s">
        <v>569</v>
      </c>
      <c r="F159" s="31">
        <v>281.39</v>
      </c>
      <c r="G159" s="17">
        <v>720</v>
      </c>
      <c r="H159" s="31">
        <v>6078.38</v>
      </c>
      <c r="I159" s="31">
        <f t="shared" si="8"/>
        <v>196522.41999999998</v>
      </c>
      <c r="J159" s="16">
        <f t="shared" si="9"/>
        <v>180145.55166666664</v>
      </c>
      <c r="K159">
        <v>12</v>
      </c>
      <c r="L159" s="16">
        <f t="shared" si="10"/>
        <v>21617.466199999995</v>
      </c>
      <c r="M159">
        <v>0</v>
      </c>
      <c r="N159" s="16">
        <f t="shared" si="11"/>
        <v>0</v>
      </c>
    </row>
    <row r="160" spans="1:14" x14ac:dyDescent="0.25">
      <c r="A160" s="29">
        <v>12</v>
      </c>
      <c r="B160" t="s">
        <v>28</v>
      </c>
      <c r="C160" s="1" t="s">
        <v>29</v>
      </c>
      <c r="D160" t="s">
        <v>1313</v>
      </c>
      <c r="E160" t="s">
        <v>569</v>
      </c>
      <c r="F160" s="31">
        <v>281.39</v>
      </c>
      <c r="G160" s="17">
        <v>720</v>
      </c>
      <c r="H160" s="31">
        <v>6078.38</v>
      </c>
      <c r="I160" s="31">
        <f t="shared" si="8"/>
        <v>196522.41999999998</v>
      </c>
      <c r="J160" s="16">
        <f t="shared" si="9"/>
        <v>180145.55166666664</v>
      </c>
      <c r="K160">
        <v>12</v>
      </c>
      <c r="L160" s="16">
        <f t="shared" si="10"/>
        <v>21617.466199999995</v>
      </c>
      <c r="M160">
        <v>0</v>
      </c>
      <c r="N160" s="16">
        <f t="shared" si="11"/>
        <v>0</v>
      </c>
    </row>
    <row r="161" spans="1:14" x14ac:dyDescent="0.25">
      <c r="A161" s="29">
        <v>12</v>
      </c>
      <c r="B161" t="s">
        <v>28</v>
      </c>
      <c r="C161" s="1" t="s">
        <v>29</v>
      </c>
      <c r="D161" t="s">
        <v>1259</v>
      </c>
      <c r="E161" t="s">
        <v>569</v>
      </c>
      <c r="F161" s="31">
        <v>4571.63</v>
      </c>
      <c r="G161" s="17">
        <v>288</v>
      </c>
      <c r="H161" s="31">
        <v>39499.1</v>
      </c>
      <c r="I161" s="31">
        <f t="shared" si="8"/>
        <v>1277130.3399999999</v>
      </c>
      <c r="J161" s="16">
        <f t="shared" si="9"/>
        <v>1170702.8116666665</v>
      </c>
      <c r="K161">
        <v>12</v>
      </c>
      <c r="L161" s="16">
        <f t="shared" si="10"/>
        <v>140484.33739999999</v>
      </c>
      <c r="M161">
        <v>0</v>
      </c>
      <c r="N161" s="16">
        <f t="shared" si="11"/>
        <v>0</v>
      </c>
    </row>
    <row r="162" spans="1:14" x14ac:dyDescent="0.25">
      <c r="A162" s="29">
        <v>12</v>
      </c>
      <c r="B162" t="s">
        <v>28</v>
      </c>
      <c r="C162" s="1" t="s">
        <v>29</v>
      </c>
      <c r="D162" t="s">
        <v>1237</v>
      </c>
      <c r="E162" t="s">
        <v>569</v>
      </c>
      <c r="F162" s="31">
        <v>3966.67</v>
      </c>
      <c r="G162" s="17">
        <v>12</v>
      </c>
      <c r="H162" s="31">
        <v>1427.93</v>
      </c>
      <c r="I162" s="31">
        <f t="shared" si="8"/>
        <v>46172.11</v>
      </c>
      <c r="J162" s="16">
        <f t="shared" si="9"/>
        <v>42324.434166666666</v>
      </c>
      <c r="K162">
        <v>12</v>
      </c>
      <c r="L162" s="16">
        <f t="shared" si="10"/>
        <v>5078.9321</v>
      </c>
      <c r="M162">
        <v>0</v>
      </c>
      <c r="N162" s="16">
        <f t="shared" si="11"/>
        <v>0</v>
      </c>
    </row>
    <row r="163" spans="1:14" x14ac:dyDescent="0.25">
      <c r="A163" s="29">
        <v>12</v>
      </c>
      <c r="B163" t="s">
        <v>28</v>
      </c>
      <c r="C163" s="1" t="s">
        <v>29</v>
      </c>
      <c r="D163" t="s">
        <v>1278</v>
      </c>
      <c r="E163" t="s">
        <v>569</v>
      </c>
      <c r="F163" s="31">
        <v>1503.1</v>
      </c>
      <c r="G163" s="17">
        <v>36</v>
      </c>
      <c r="H163" s="31">
        <v>1623.42</v>
      </c>
      <c r="I163" s="31">
        <f t="shared" si="8"/>
        <v>52488.18</v>
      </c>
      <c r="J163" s="16">
        <f t="shared" si="9"/>
        <v>48114.165000000001</v>
      </c>
      <c r="K163">
        <v>12</v>
      </c>
      <c r="L163" s="16">
        <f t="shared" si="10"/>
        <v>5773.6997999999994</v>
      </c>
      <c r="M163">
        <v>0</v>
      </c>
      <c r="N163" s="16">
        <f t="shared" si="11"/>
        <v>0</v>
      </c>
    </row>
    <row r="164" spans="1:14" x14ac:dyDescent="0.25">
      <c r="A164" s="29">
        <v>12</v>
      </c>
      <c r="B164" t="s">
        <v>28</v>
      </c>
      <c r="C164" s="1" t="s">
        <v>29</v>
      </c>
      <c r="D164" t="s">
        <v>1212</v>
      </c>
      <c r="E164" t="s">
        <v>569</v>
      </c>
      <c r="F164" s="31">
        <v>1503.1</v>
      </c>
      <c r="G164" s="17">
        <v>36</v>
      </c>
      <c r="H164" s="31">
        <v>1623.42</v>
      </c>
      <c r="I164" s="31">
        <f t="shared" si="8"/>
        <v>52488.18</v>
      </c>
      <c r="J164" s="16">
        <f t="shared" si="9"/>
        <v>48114.165000000001</v>
      </c>
      <c r="K164">
        <v>12</v>
      </c>
      <c r="L164" s="16">
        <f t="shared" si="10"/>
        <v>5773.6997999999994</v>
      </c>
      <c r="M164">
        <v>0</v>
      </c>
      <c r="N164" s="16">
        <f t="shared" si="11"/>
        <v>0</v>
      </c>
    </row>
    <row r="165" spans="1:14" x14ac:dyDescent="0.25">
      <c r="A165" s="29">
        <v>12</v>
      </c>
      <c r="B165" t="s">
        <v>28</v>
      </c>
      <c r="C165" s="1" t="s">
        <v>29</v>
      </c>
      <c r="D165" t="s">
        <v>1279</v>
      </c>
      <c r="E165" t="s">
        <v>569</v>
      </c>
      <c r="F165" s="31">
        <v>1503.11</v>
      </c>
      <c r="G165" s="17">
        <v>432</v>
      </c>
      <c r="H165" s="31">
        <v>19480.18</v>
      </c>
      <c r="I165" s="31">
        <f t="shared" si="8"/>
        <v>629863.33999999985</v>
      </c>
      <c r="J165" s="16">
        <f t="shared" si="9"/>
        <v>577374.72833333316</v>
      </c>
      <c r="K165">
        <v>12</v>
      </c>
      <c r="L165" s="16">
        <f t="shared" si="10"/>
        <v>69284.96739999998</v>
      </c>
      <c r="M165">
        <v>0</v>
      </c>
      <c r="N165" s="16">
        <f t="shared" si="11"/>
        <v>0</v>
      </c>
    </row>
    <row r="166" spans="1:14" x14ac:dyDescent="0.25">
      <c r="A166" s="29">
        <v>12</v>
      </c>
      <c r="B166" t="s">
        <v>28</v>
      </c>
      <c r="C166" s="1" t="s">
        <v>29</v>
      </c>
      <c r="D166" t="s">
        <v>1213</v>
      </c>
      <c r="E166" t="s">
        <v>569</v>
      </c>
      <c r="F166" s="31">
        <v>1503.1</v>
      </c>
      <c r="G166" s="17">
        <v>72</v>
      </c>
      <c r="H166" s="31">
        <v>3246.85</v>
      </c>
      <c r="I166" s="31">
        <f t="shared" si="8"/>
        <v>104976.34999999999</v>
      </c>
      <c r="J166" s="16">
        <f t="shared" si="9"/>
        <v>96228.320833333317</v>
      </c>
      <c r="K166">
        <v>12</v>
      </c>
      <c r="L166" s="16">
        <f t="shared" si="10"/>
        <v>11547.398499999999</v>
      </c>
      <c r="M166">
        <v>0</v>
      </c>
      <c r="N166" s="16">
        <f t="shared" si="11"/>
        <v>0</v>
      </c>
    </row>
    <row r="167" spans="1:14" x14ac:dyDescent="0.25">
      <c r="A167" s="29">
        <v>12</v>
      </c>
      <c r="B167" t="s">
        <v>28</v>
      </c>
      <c r="C167" s="1" t="s">
        <v>29</v>
      </c>
      <c r="D167" t="s">
        <v>1280</v>
      </c>
      <c r="E167" t="s">
        <v>569</v>
      </c>
      <c r="F167" s="31">
        <v>1503.1</v>
      </c>
      <c r="G167" s="17">
        <v>36</v>
      </c>
      <c r="H167" s="31">
        <v>1623.42</v>
      </c>
      <c r="I167" s="31">
        <f t="shared" si="8"/>
        <v>52488.18</v>
      </c>
      <c r="J167" s="16">
        <f t="shared" si="9"/>
        <v>48114.165000000001</v>
      </c>
      <c r="K167">
        <v>12</v>
      </c>
      <c r="L167" s="16">
        <f t="shared" si="10"/>
        <v>5773.6997999999994</v>
      </c>
      <c r="M167">
        <v>0</v>
      </c>
      <c r="N167" s="16">
        <f t="shared" si="11"/>
        <v>0</v>
      </c>
    </row>
    <row r="168" spans="1:14" x14ac:dyDescent="0.25">
      <c r="A168" s="29">
        <v>12</v>
      </c>
      <c r="B168" t="s">
        <v>28</v>
      </c>
      <c r="C168" s="1" t="s">
        <v>29</v>
      </c>
      <c r="D168" t="s">
        <v>1215</v>
      </c>
      <c r="E168" t="s">
        <v>569</v>
      </c>
      <c r="F168" s="31">
        <v>1503.1</v>
      </c>
      <c r="G168" s="17">
        <v>36</v>
      </c>
      <c r="H168" s="31">
        <v>1623.42</v>
      </c>
      <c r="I168" s="31">
        <f t="shared" si="8"/>
        <v>52488.18</v>
      </c>
      <c r="J168" s="16">
        <f t="shared" si="9"/>
        <v>48114.165000000001</v>
      </c>
      <c r="K168">
        <v>12</v>
      </c>
      <c r="L168" s="16">
        <f t="shared" si="10"/>
        <v>5773.6997999999994</v>
      </c>
      <c r="M168">
        <v>0</v>
      </c>
      <c r="N168" s="16">
        <f t="shared" si="11"/>
        <v>0</v>
      </c>
    </row>
    <row r="169" spans="1:14" x14ac:dyDescent="0.25">
      <c r="A169" s="29">
        <v>12</v>
      </c>
      <c r="B169" t="s">
        <v>28</v>
      </c>
      <c r="C169" s="1" t="s">
        <v>29</v>
      </c>
      <c r="D169" t="s">
        <v>1314</v>
      </c>
      <c r="E169" t="s">
        <v>569</v>
      </c>
      <c r="F169" s="31">
        <v>956.17</v>
      </c>
      <c r="G169" s="17">
        <v>1250</v>
      </c>
      <c r="H169" s="31">
        <v>35855.86</v>
      </c>
      <c r="I169" s="31">
        <f t="shared" si="8"/>
        <v>1159356.6399999999</v>
      </c>
      <c r="J169" s="16">
        <f t="shared" si="9"/>
        <v>1062743.5866666664</v>
      </c>
      <c r="K169">
        <v>12</v>
      </c>
      <c r="L169" s="16">
        <f t="shared" si="10"/>
        <v>127529.23039999997</v>
      </c>
      <c r="M169">
        <v>0</v>
      </c>
      <c r="N169" s="16">
        <f t="shared" si="11"/>
        <v>0</v>
      </c>
    </row>
    <row r="170" spans="1:14" x14ac:dyDescent="0.25">
      <c r="A170" s="29">
        <v>12</v>
      </c>
      <c r="B170" t="s">
        <v>28</v>
      </c>
      <c r="C170" s="1" t="s">
        <v>29</v>
      </c>
      <c r="D170" t="s">
        <v>1238</v>
      </c>
      <c r="E170" t="s">
        <v>569</v>
      </c>
      <c r="F170" s="31">
        <v>956.17</v>
      </c>
      <c r="G170" s="17">
        <v>1250</v>
      </c>
      <c r="H170" s="31">
        <v>35855.86</v>
      </c>
      <c r="I170" s="31">
        <f t="shared" si="8"/>
        <v>1159356.6399999999</v>
      </c>
      <c r="J170" s="16">
        <f t="shared" si="9"/>
        <v>1062743.5866666664</v>
      </c>
      <c r="K170">
        <v>12</v>
      </c>
      <c r="L170" s="16">
        <f t="shared" si="10"/>
        <v>127529.23039999997</v>
      </c>
      <c r="M170">
        <v>0</v>
      </c>
      <c r="N170" s="16">
        <f t="shared" si="11"/>
        <v>0</v>
      </c>
    </row>
    <row r="171" spans="1:14" x14ac:dyDescent="0.25">
      <c r="A171" s="29">
        <v>12</v>
      </c>
      <c r="B171" t="s">
        <v>28</v>
      </c>
      <c r="C171" s="1" t="s">
        <v>29</v>
      </c>
      <c r="D171" t="s">
        <v>1262</v>
      </c>
      <c r="E171" t="s">
        <v>569</v>
      </c>
      <c r="F171" s="31">
        <v>956.17</v>
      </c>
      <c r="G171" s="17">
        <v>750</v>
      </c>
      <c r="H171" s="31">
        <v>21514.41</v>
      </c>
      <c r="I171" s="31">
        <f t="shared" si="8"/>
        <v>695613.09</v>
      </c>
      <c r="J171" s="16">
        <f t="shared" si="9"/>
        <v>637645.3324999999</v>
      </c>
      <c r="K171">
        <v>12</v>
      </c>
      <c r="L171" s="16">
        <f t="shared" si="10"/>
        <v>76517.439899999983</v>
      </c>
      <c r="M171">
        <v>0</v>
      </c>
      <c r="N171" s="16">
        <f t="shared" si="11"/>
        <v>0</v>
      </c>
    </row>
    <row r="172" spans="1:14" x14ac:dyDescent="0.25">
      <c r="A172" s="29">
        <v>12</v>
      </c>
      <c r="B172" t="s">
        <v>28</v>
      </c>
      <c r="C172" s="1" t="s">
        <v>29</v>
      </c>
      <c r="D172" t="s">
        <v>1239</v>
      </c>
      <c r="E172" t="s">
        <v>569</v>
      </c>
      <c r="F172" s="31">
        <v>956.17</v>
      </c>
      <c r="G172" s="17">
        <v>2500</v>
      </c>
      <c r="H172" s="31">
        <v>71712.61</v>
      </c>
      <c r="I172" s="31">
        <f t="shared" si="8"/>
        <v>2318712.39</v>
      </c>
      <c r="J172" s="16">
        <f t="shared" si="9"/>
        <v>2125486.3574999999</v>
      </c>
      <c r="K172">
        <v>12</v>
      </c>
      <c r="L172" s="16">
        <f t="shared" si="10"/>
        <v>255058.36289999998</v>
      </c>
      <c r="M172">
        <v>0</v>
      </c>
      <c r="N172" s="16">
        <f t="shared" si="11"/>
        <v>0</v>
      </c>
    </row>
    <row r="173" spans="1:14" x14ac:dyDescent="0.25">
      <c r="A173" s="29">
        <v>12</v>
      </c>
      <c r="B173" t="s">
        <v>28</v>
      </c>
      <c r="C173" s="1" t="s">
        <v>29</v>
      </c>
      <c r="D173" t="s">
        <v>1240</v>
      </c>
      <c r="E173" t="s">
        <v>569</v>
      </c>
      <c r="F173" s="31">
        <v>956.17</v>
      </c>
      <c r="G173" s="17">
        <v>750</v>
      </c>
      <c r="H173" s="31">
        <v>21514.41</v>
      </c>
      <c r="I173" s="31">
        <f t="shared" si="8"/>
        <v>695613.09</v>
      </c>
      <c r="J173" s="16">
        <f t="shared" si="9"/>
        <v>637645.3324999999</v>
      </c>
      <c r="K173">
        <v>12</v>
      </c>
      <c r="L173" s="16">
        <f t="shared" si="10"/>
        <v>76517.439899999983</v>
      </c>
      <c r="M173">
        <v>0</v>
      </c>
      <c r="N173" s="16">
        <f t="shared" si="11"/>
        <v>0</v>
      </c>
    </row>
    <row r="174" spans="1:14" x14ac:dyDescent="0.25">
      <c r="A174" s="29">
        <v>12</v>
      </c>
      <c r="B174" t="s">
        <v>28</v>
      </c>
      <c r="C174" s="1" t="s">
        <v>29</v>
      </c>
      <c r="D174" t="s">
        <v>1241</v>
      </c>
      <c r="E174" t="s">
        <v>569</v>
      </c>
      <c r="F174" s="31">
        <v>956.17</v>
      </c>
      <c r="G174" s="17">
        <v>250</v>
      </c>
      <c r="H174" s="31">
        <v>7171.17</v>
      </c>
      <c r="I174" s="31">
        <f t="shared" si="8"/>
        <v>231871.33</v>
      </c>
      <c r="J174" s="16">
        <f t="shared" si="9"/>
        <v>212548.71916666665</v>
      </c>
      <c r="K174">
        <v>12</v>
      </c>
      <c r="L174" s="16">
        <f t="shared" si="10"/>
        <v>25505.846299999997</v>
      </c>
      <c r="M174">
        <v>0</v>
      </c>
      <c r="N174" s="16">
        <f t="shared" si="11"/>
        <v>0</v>
      </c>
    </row>
    <row r="175" spans="1:14" x14ac:dyDescent="0.25">
      <c r="A175" s="29">
        <v>12</v>
      </c>
      <c r="B175" t="s">
        <v>28</v>
      </c>
      <c r="C175" s="1" t="s">
        <v>29</v>
      </c>
      <c r="D175" t="s">
        <v>1242</v>
      </c>
      <c r="E175" t="s">
        <v>569</v>
      </c>
      <c r="F175" s="31">
        <v>956.17</v>
      </c>
      <c r="G175" s="17">
        <v>750</v>
      </c>
      <c r="H175" s="31">
        <v>21514.41</v>
      </c>
      <c r="I175" s="31">
        <f t="shared" si="8"/>
        <v>695613.09</v>
      </c>
      <c r="J175" s="16">
        <f t="shared" si="9"/>
        <v>637645.3324999999</v>
      </c>
      <c r="K175">
        <v>12</v>
      </c>
      <c r="L175" s="16">
        <f t="shared" si="10"/>
        <v>76517.439899999983</v>
      </c>
      <c r="M175">
        <v>0</v>
      </c>
      <c r="N175" s="16">
        <f t="shared" si="11"/>
        <v>0</v>
      </c>
    </row>
    <row r="176" spans="1:14" x14ac:dyDescent="0.25">
      <c r="A176" s="29">
        <v>12</v>
      </c>
      <c r="B176" t="s">
        <v>28</v>
      </c>
      <c r="C176" s="1" t="s">
        <v>29</v>
      </c>
      <c r="D176" t="s">
        <v>1315</v>
      </c>
      <c r="E176" t="s">
        <v>569</v>
      </c>
      <c r="F176" s="31">
        <v>956.17</v>
      </c>
      <c r="G176" s="17">
        <v>750</v>
      </c>
      <c r="H176" s="31">
        <v>21514.41</v>
      </c>
      <c r="I176" s="31">
        <f t="shared" si="8"/>
        <v>695613.09</v>
      </c>
      <c r="J176" s="16">
        <f t="shared" si="9"/>
        <v>637645.3324999999</v>
      </c>
      <c r="K176">
        <v>12</v>
      </c>
      <c r="L176" s="16">
        <f t="shared" si="10"/>
        <v>76517.439899999983</v>
      </c>
      <c r="M176">
        <v>0</v>
      </c>
      <c r="N176" s="16">
        <f t="shared" si="11"/>
        <v>0</v>
      </c>
    </row>
    <row r="177" spans="1:14" x14ac:dyDescent="0.25">
      <c r="A177" s="29">
        <v>12</v>
      </c>
      <c r="B177" t="s">
        <v>28</v>
      </c>
      <c r="C177" s="1" t="s">
        <v>29</v>
      </c>
      <c r="D177" t="s">
        <v>1243</v>
      </c>
      <c r="E177" t="s">
        <v>569</v>
      </c>
      <c r="F177" s="31">
        <v>956.17</v>
      </c>
      <c r="G177" s="17">
        <v>500</v>
      </c>
      <c r="H177" s="31">
        <v>14343.24</v>
      </c>
      <c r="I177" s="31">
        <f t="shared" si="8"/>
        <v>463741.76</v>
      </c>
      <c r="J177" s="16">
        <f t="shared" si="9"/>
        <v>425096.61333333334</v>
      </c>
      <c r="K177">
        <v>12</v>
      </c>
      <c r="L177" s="16">
        <f t="shared" si="10"/>
        <v>51011.5936</v>
      </c>
      <c r="M177">
        <v>0</v>
      </c>
      <c r="N177" s="16">
        <f t="shared" si="11"/>
        <v>0</v>
      </c>
    </row>
    <row r="178" spans="1:14" x14ac:dyDescent="0.25">
      <c r="A178" s="29">
        <v>12</v>
      </c>
      <c r="B178" t="s">
        <v>28</v>
      </c>
      <c r="C178" s="1" t="s">
        <v>29</v>
      </c>
      <c r="D178" t="s">
        <v>1244</v>
      </c>
      <c r="E178" t="s">
        <v>569</v>
      </c>
      <c r="F178" s="31">
        <v>956.17</v>
      </c>
      <c r="G178" s="17">
        <v>2500</v>
      </c>
      <c r="H178" s="31">
        <v>71712.61</v>
      </c>
      <c r="I178" s="31">
        <f t="shared" si="8"/>
        <v>2318712.39</v>
      </c>
      <c r="J178" s="16">
        <f t="shared" si="9"/>
        <v>2125486.3574999999</v>
      </c>
      <c r="K178">
        <v>12</v>
      </c>
      <c r="L178" s="16">
        <f t="shared" si="10"/>
        <v>255058.36289999998</v>
      </c>
      <c r="M178">
        <v>0</v>
      </c>
      <c r="N178" s="16">
        <f t="shared" si="11"/>
        <v>0</v>
      </c>
    </row>
    <row r="179" spans="1:14" x14ac:dyDescent="0.25">
      <c r="A179" s="29">
        <v>12</v>
      </c>
      <c r="B179" t="s">
        <v>28</v>
      </c>
      <c r="C179" s="1" t="s">
        <v>29</v>
      </c>
      <c r="D179" t="s">
        <v>1316</v>
      </c>
      <c r="E179" t="s">
        <v>569</v>
      </c>
      <c r="F179" s="31">
        <v>956.17</v>
      </c>
      <c r="G179" s="17">
        <v>250</v>
      </c>
      <c r="H179" s="31">
        <v>7171.17</v>
      </c>
      <c r="I179" s="31">
        <f t="shared" si="8"/>
        <v>231871.33</v>
      </c>
      <c r="J179" s="16">
        <f t="shared" si="9"/>
        <v>212548.71916666665</v>
      </c>
      <c r="K179">
        <v>12</v>
      </c>
      <c r="L179" s="16">
        <f t="shared" si="10"/>
        <v>25505.846299999997</v>
      </c>
      <c r="M179">
        <v>0</v>
      </c>
      <c r="N179" s="16">
        <f t="shared" si="11"/>
        <v>0</v>
      </c>
    </row>
    <row r="180" spans="1:14" x14ac:dyDescent="0.25">
      <c r="A180" s="29">
        <v>12</v>
      </c>
      <c r="B180" t="s">
        <v>28</v>
      </c>
      <c r="C180" s="1" t="s">
        <v>29</v>
      </c>
      <c r="D180" t="s">
        <v>1317</v>
      </c>
      <c r="E180" t="s">
        <v>569</v>
      </c>
      <c r="F180" s="31">
        <v>956.17</v>
      </c>
      <c r="G180" s="17">
        <v>250</v>
      </c>
      <c r="H180" s="31">
        <v>7171.17</v>
      </c>
      <c r="I180" s="31">
        <f t="shared" si="8"/>
        <v>231871.33</v>
      </c>
      <c r="J180" s="16">
        <f t="shared" si="9"/>
        <v>212548.71916666665</v>
      </c>
      <c r="K180">
        <v>12</v>
      </c>
      <c r="L180" s="16">
        <f t="shared" si="10"/>
        <v>25505.846299999997</v>
      </c>
      <c r="M180">
        <v>0</v>
      </c>
      <c r="N180" s="16">
        <f t="shared" si="11"/>
        <v>0</v>
      </c>
    </row>
    <row r="181" spans="1:14" x14ac:dyDescent="0.25">
      <c r="A181" s="29">
        <v>12</v>
      </c>
      <c r="B181" t="s">
        <v>28</v>
      </c>
      <c r="C181" s="1" t="s">
        <v>29</v>
      </c>
      <c r="D181" t="s">
        <v>1297</v>
      </c>
      <c r="E181" t="s">
        <v>569</v>
      </c>
      <c r="F181" s="31">
        <v>270.49</v>
      </c>
      <c r="G181" s="17">
        <v>720</v>
      </c>
      <c r="H181" s="31">
        <v>5843.24</v>
      </c>
      <c r="I181" s="31">
        <f t="shared" si="8"/>
        <v>188909.56000000003</v>
      </c>
      <c r="J181" s="16">
        <f t="shared" si="9"/>
        <v>173167.09666666668</v>
      </c>
      <c r="K181">
        <v>12</v>
      </c>
      <c r="L181" s="16">
        <f t="shared" si="10"/>
        <v>20780.051600000003</v>
      </c>
      <c r="M181">
        <v>0</v>
      </c>
      <c r="N181" s="16">
        <f t="shared" si="11"/>
        <v>0</v>
      </c>
    </row>
    <row r="182" spans="1:14" x14ac:dyDescent="0.25">
      <c r="A182" s="29">
        <v>12</v>
      </c>
      <c r="B182" t="s">
        <v>28</v>
      </c>
      <c r="C182" s="1" t="s">
        <v>29</v>
      </c>
      <c r="D182" t="s">
        <v>1298</v>
      </c>
      <c r="E182" t="s">
        <v>569</v>
      </c>
      <c r="F182" s="31">
        <v>270.49</v>
      </c>
      <c r="G182" s="17">
        <v>2160</v>
      </c>
      <c r="H182" s="31">
        <v>17527.93</v>
      </c>
      <c r="I182" s="31">
        <f t="shared" si="8"/>
        <v>566730.47</v>
      </c>
      <c r="J182" s="16">
        <f t="shared" si="9"/>
        <v>519502.93083333329</v>
      </c>
      <c r="K182">
        <v>12</v>
      </c>
      <c r="L182" s="16">
        <f t="shared" si="10"/>
        <v>62340.351699999999</v>
      </c>
      <c r="M182">
        <v>0</v>
      </c>
      <c r="N182" s="16">
        <f t="shared" si="11"/>
        <v>0</v>
      </c>
    </row>
    <row r="183" spans="1:14" x14ac:dyDescent="0.25">
      <c r="A183" s="29">
        <v>12</v>
      </c>
      <c r="B183" t="s">
        <v>28</v>
      </c>
      <c r="C183" s="1" t="s">
        <v>29</v>
      </c>
      <c r="D183" t="s">
        <v>1299</v>
      </c>
      <c r="E183" t="s">
        <v>569</v>
      </c>
      <c r="F183" s="31">
        <v>270.49</v>
      </c>
      <c r="G183" s="17">
        <v>2160</v>
      </c>
      <c r="H183" s="31">
        <v>17527.93</v>
      </c>
      <c r="I183" s="31">
        <f t="shared" si="8"/>
        <v>566730.47</v>
      </c>
      <c r="J183" s="16">
        <f t="shared" si="9"/>
        <v>519502.93083333329</v>
      </c>
      <c r="K183">
        <v>12</v>
      </c>
      <c r="L183" s="16">
        <f t="shared" si="10"/>
        <v>62340.351699999999</v>
      </c>
      <c r="M183">
        <v>0</v>
      </c>
      <c r="N183" s="16">
        <f t="shared" si="11"/>
        <v>0</v>
      </c>
    </row>
    <row r="184" spans="1:14" x14ac:dyDescent="0.25">
      <c r="A184" s="29">
        <v>12</v>
      </c>
      <c r="B184" t="s">
        <v>28</v>
      </c>
      <c r="C184" s="1" t="s">
        <v>29</v>
      </c>
      <c r="D184" t="s">
        <v>1303</v>
      </c>
      <c r="E184" t="s">
        <v>569</v>
      </c>
      <c r="F184" s="31">
        <v>3669.97</v>
      </c>
      <c r="G184" s="17">
        <v>24</v>
      </c>
      <c r="H184" s="31">
        <v>2642.34</v>
      </c>
      <c r="I184" s="31">
        <f t="shared" si="8"/>
        <v>85436.94</v>
      </c>
      <c r="J184" s="16">
        <f t="shared" si="9"/>
        <v>78317.194999999992</v>
      </c>
      <c r="K184">
        <v>12</v>
      </c>
      <c r="L184" s="16">
        <f t="shared" si="10"/>
        <v>9398.0633999999991</v>
      </c>
      <c r="M184">
        <v>0</v>
      </c>
      <c r="N184" s="16">
        <f t="shared" si="11"/>
        <v>0</v>
      </c>
    </row>
    <row r="185" spans="1:14" x14ac:dyDescent="0.25">
      <c r="A185" s="29">
        <v>12</v>
      </c>
      <c r="B185" t="s">
        <v>28</v>
      </c>
      <c r="C185" s="1" t="s">
        <v>29</v>
      </c>
      <c r="D185" t="s">
        <v>1247</v>
      </c>
      <c r="E185" t="s">
        <v>569</v>
      </c>
      <c r="F185" s="31">
        <v>974.43</v>
      </c>
      <c r="G185" s="17">
        <v>1500</v>
      </c>
      <c r="H185" s="31">
        <v>43849.55</v>
      </c>
      <c r="I185" s="31">
        <f t="shared" si="8"/>
        <v>1417795.45</v>
      </c>
      <c r="J185" s="16">
        <f t="shared" si="9"/>
        <v>1299645.8291666666</v>
      </c>
      <c r="K185">
        <v>12</v>
      </c>
      <c r="L185" s="16">
        <f t="shared" si="10"/>
        <v>155957.49950000001</v>
      </c>
      <c r="M185">
        <v>0</v>
      </c>
      <c r="N185" s="16">
        <f t="shared" si="11"/>
        <v>0</v>
      </c>
    </row>
    <row r="186" spans="1:14" x14ac:dyDescent="0.25">
      <c r="A186" s="29">
        <v>12</v>
      </c>
      <c r="B186" t="s">
        <v>28</v>
      </c>
      <c r="C186" s="1" t="s">
        <v>29</v>
      </c>
      <c r="D186" t="s">
        <v>1318</v>
      </c>
      <c r="E186" t="s">
        <v>569</v>
      </c>
      <c r="F186" s="31">
        <v>10323.42</v>
      </c>
      <c r="G186" s="17">
        <v>6</v>
      </c>
      <c r="H186" s="31">
        <v>1857.66</v>
      </c>
      <c r="I186" s="31">
        <f t="shared" si="8"/>
        <v>60082.86</v>
      </c>
      <c r="J186" s="16">
        <f t="shared" si="9"/>
        <v>55075.955000000002</v>
      </c>
      <c r="K186">
        <v>12</v>
      </c>
      <c r="L186" s="16">
        <f t="shared" si="10"/>
        <v>6609.1145999999999</v>
      </c>
      <c r="M186">
        <v>0</v>
      </c>
      <c r="N186" s="16">
        <f t="shared" si="11"/>
        <v>0</v>
      </c>
    </row>
    <row r="187" spans="1:14" x14ac:dyDescent="0.25">
      <c r="A187" s="29">
        <v>12</v>
      </c>
      <c r="B187" t="s">
        <v>28</v>
      </c>
      <c r="C187" s="1" t="s">
        <v>29</v>
      </c>
      <c r="D187" t="s">
        <v>1248</v>
      </c>
      <c r="E187" t="s">
        <v>569</v>
      </c>
      <c r="F187" s="31">
        <v>974.43</v>
      </c>
      <c r="G187" s="17">
        <v>720</v>
      </c>
      <c r="H187" s="31">
        <v>21047.75</v>
      </c>
      <c r="I187" s="31">
        <f t="shared" si="8"/>
        <v>680541.85</v>
      </c>
      <c r="J187" s="16">
        <f t="shared" si="9"/>
        <v>623830.02916666667</v>
      </c>
      <c r="K187">
        <v>12</v>
      </c>
      <c r="L187" s="16">
        <f t="shared" si="10"/>
        <v>74859.603499999997</v>
      </c>
      <c r="M187">
        <v>0</v>
      </c>
      <c r="N187" s="16">
        <f t="shared" si="11"/>
        <v>0</v>
      </c>
    </row>
    <row r="188" spans="1:14" x14ac:dyDescent="0.25">
      <c r="A188" s="29">
        <v>12</v>
      </c>
      <c r="B188" t="s">
        <v>28</v>
      </c>
      <c r="C188" s="1" t="s">
        <v>29</v>
      </c>
      <c r="D188" t="s">
        <v>1282</v>
      </c>
      <c r="E188" t="s">
        <v>569</v>
      </c>
      <c r="F188" s="31">
        <v>1503.11</v>
      </c>
      <c r="G188" s="17">
        <v>432</v>
      </c>
      <c r="H188" s="31">
        <v>19480.18</v>
      </c>
      <c r="I188" s="31">
        <f t="shared" si="8"/>
        <v>629863.33999999985</v>
      </c>
      <c r="J188" s="16">
        <f t="shared" si="9"/>
        <v>577374.72833333316</v>
      </c>
      <c r="K188">
        <v>12</v>
      </c>
      <c r="L188" s="16">
        <f t="shared" si="10"/>
        <v>69284.96739999998</v>
      </c>
      <c r="M188">
        <v>0</v>
      </c>
      <c r="N188" s="16">
        <f t="shared" si="11"/>
        <v>0</v>
      </c>
    </row>
    <row r="189" spans="1:14" x14ac:dyDescent="0.25">
      <c r="A189" s="29">
        <v>12</v>
      </c>
      <c r="B189" t="s">
        <v>28</v>
      </c>
      <c r="C189" s="1" t="s">
        <v>29</v>
      </c>
      <c r="D189" t="s">
        <v>1267</v>
      </c>
      <c r="E189" t="s">
        <v>569</v>
      </c>
      <c r="F189" s="31">
        <v>257.52</v>
      </c>
      <c r="G189" s="17">
        <v>2880</v>
      </c>
      <c r="H189" s="31">
        <v>22250.45</v>
      </c>
      <c r="I189" s="31">
        <f t="shared" si="8"/>
        <v>719407.15</v>
      </c>
      <c r="J189" s="16">
        <f t="shared" si="9"/>
        <v>659456.5541666667</v>
      </c>
      <c r="K189">
        <v>12</v>
      </c>
      <c r="L189" s="16">
        <f t="shared" si="10"/>
        <v>79134.786500000002</v>
      </c>
      <c r="M189">
        <v>0</v>
      </c>
      <c r="N189" s="16">
        <f t="shared" si="11"/>
        <v>0</v>
      </c>
    </row>
    <row r="190" spans="1:14" x14ac:dyDescent="0.25">
      <c r="A190" s="29">
        <v>12</v>
      </c>
      <c r="B190" t="s">
        <v>28</v>
      </c>
      <c r="C190" s="1" t="s">
        <v>29</v>
      </c>
      <c r="D190" t="s">
        <v>1319</v>
      </c>
      <c r="E190" t="s">
        <v>569</v>
      </c>
      <c r="F190" s="31">
        <v>281.39</v>
      </c>
      <c r="G190" s="17">
        <v>720</v>
      </c>
      <c r="H190" s="31">
        <v>6078.38</v>
      </c>
      <c r="I190" s="31">
        <f t="shared" si="8"/>
        <v>196522.41999999998</v>
      </c>
      <c r="J190" s="16">
        <f t="shared" si="9"/>
        <v>180145.55166666664</v>
      </c>
      <c r="K190">
        <v>12</v>
      </c>
      <c r="L190" s="16">
        <f t="shared" si="10"/>
        <v>21617.466199999995</v>
      </c>
      <c r="M190">
        <v>0</v>
      </c>
      <c r="N190" s="16">
        <f t="shared" si="11"/>
        <v>0</v>
      </c>
    </row>
    <row r="191" spans="1:14" x14ac:dyDescent="0.25">
      <c r="A191" s="29">
        <v>12</v>
      </c>
      <c r="B191" t="s">
        <v>28</v>
      </c>
      <c r="C191" s="1" t="s">
        <v>29</v>
      </c>
      <c r="D191" t="s">
        <v>1232</v>
      </c>
      <c r="E191" t="s">
        <v>569</v>
      </c>
      <c r="F191" s="31">
        <v>3104.5</v>
      </c>
      <c r="G191" s="17">
        <v>12</v>
      </c>
      <c r="H191" s="31">
        <v>1118.02</v>
      </c>
      <c r="I191" s="31">
        <f t="shared" si="8"/>
        <v>36135.980000000003</v>
      </c>
      <c r="J191" s="16">
        <f t="shared" si="9"/>
        <v>33124.648333333338</v>
      </c>
      <c r="K191">
        <v>12</v>
      </c>
      <c r="L191" s="16">
        <f t="shared" si="10"/>
        <v>3974.9578000000001</v>
      </c>
      <c r="M191">
        <v>0</v>
      </c>
      <c r="N191" s="16">
        <f t="shared" si="11"/>
        <v>0</v>
      </c>
    </row>
    <row r="192" spans="1:14" x14ac:dyDescent="0.25">
      <c r="A192" s="29">
        <v>12</v>
      </c>
      <c r="B192" t="s">
        <v>28</v>
      </c>
      <c r="C192" s="1" t="s">
        <v>29</v>
      </c>
      <c r="D192" t="s">
        <v>1320</v>
      </c>
      <c r="E192" t="s">
        <v>569</v>
      </c>
      <c r="F192" s="31">
        <v>1458.46</v>
      </c>
      <c r="G192" s="17">
        <v>36</v>
      </c>
      <c r="H192" s="31">
        <v>1574.77</v>
      </c>
      <c r="I192" s="31">
        <f t="shared" si="8"/>
        <v>50929.79</v>
      </c>
      <c r="J192" s="16">
        <f t="shared" si="9"/>
        <v>46685.640833333331</v>
      </c>
      <c r="K192">
        <v>12</v>
      </c>
      <c r="L192" s="16">
        <f t="shared" si="10"/>
        <v>5602.2768999999998</v>
      </c>
      <c r="M192">
        <v>0</v>
      </c>
      <c r="N192" s="16">
        <f t="shared" si="11"/>
        <v>0</v>
      </c>
    </row>
    <row r="193" spans="1:14" x14ac:dyDescent="0.25">
      <c r="A193" s="29">
        <v>12</v>
      </c>
      <c r="B193" t="s">
        <v>28</v>
      </c>
      <c r="C193" s="1" t="s">
        <v>29</v>
      </c>
      <c r="D193" t="s">
        <v>1321</v>
      </c>
      <c r="E193" t="s">
        <v>569</v>
      </c>
      <c r="F193" s="31">
        <v>1458.46</v>
      </c>
      <c r="G193" s="17">
        <v>36</v>
      </c>
      <c r="H193" s="31">
        <v>1574.77</v>
      </c>
      <c r="I193" s="31">
        <f t="shared" si="8"/>
        <v>50929.79</v>
      </c>
      <c r="J193" s="16">
        <f t="shared" si="9"/>
        <v>46685.640833333331</v>
      </c>
      <c r="K193">
        <v>12</v>
      </c>
      <c r="L193" s="16">
        <f t="shared" si="10"/>
        <v>5602.2768999999998</v>
      </c>
      <c r="M193">
        <v>0</v>
      </c>
      <c r="N193" s="16">
        <f t="shared" si="11"/>
        <v>0</v>
      </c>
    </row>
    <row r="194" spans="1:14" x14ac:dyDescent="0.25">
      <c r="A194" s="29">
        <v>12</v>
      </c>
      <c r="B194" t="s">
        <v>28</v>
      </c>
      <c r="C194" s="1" t="s">
        <v>29</v>
      </c>
      <c r="D194" t="s">
        <v>1308</v>
      </c>
      <c r="E194" t="s">
        <v>569</v>
      </c>
      <c r="F194" s="31">
        <v>1458.46</v>
      </c>
      <c r="G194" s="17">
        <v>72</v>
      </c>
      <c r="H194" s="31">
        <v>3150.45</v>
      </c>
      <c r="I194" s="31">
        <f t="shared" si="8"/>
        <v>101858.67</v>
      </c>
      <c r="J194" s="16">
        <f t="shared" si="9"/>
        <v>93370.447499999995</v>
      </c>
      <c r="K194">
        <v>12</v>
      </c>
      <c r="L194" s="16">
        <f t="shared" si="10"/>
        <v>11204.453699999998</v>
      </c>
      <c r="M194">
        <v>0</v>
      </c>
      <c r="N194" s="16">
        <f t="shared" si="11"/>
        <v>0</v>
      </c>
    </row>
    <row r="195" spans="1:14" x14ac:dyDescent="0.25">
      <c r="A195" s="29">
        <v>12</v>
      </c>
      <c r="B195" t="s">
        <v>28</v>
      </c>
      <c r="C195" s="1" t="s">
        <v>29</v>
      </c>
      <c r="D195" t="s">
        <v>1309</v>
      </c>
      <c r="E195" t="s">
        <v>569</v>
      </c>
      <c r="F195" s="31">
        <v>2190.17</v>
      </c>
      <c r="G195" s="17">
        <v>72</v>
      </c>
      <c r="H195" s="31">
        <v>4730.63</v>
      </c>
      <c r="I195" s="31">
        <f t="shared" ref="I195:I258" si="12">G195*F195-H195</f>
        <v>152961.60999999999</v>
      </c>
      <c r="J195" s="16">
        <f t="shared" ref="J195:J258" si="13">11/12*I195</f>
        <v>140214.80916666664</v>
      </c>
      <c r="K195">
        <v>12</v>
      </c>
      <c r="L195" s="16">
        <f t="shared" ref="L195:L258" si="14">J195*K195/100</f>
        <v>16825.777099999996</v>
      </c>
      <c r="M195">
        <v>0</v>
      </c>
      <c r="N195" s="16">
        <f t="shared" ref="N195:N258" si="15">M195*J195/100</f>
        <v>0</v>
      </c>
    </row>
    <row r="196" spans="1:14" x14ac:dyDescent="0.25">
      <c r="A196" s="29">
        <v>12</v>
      </c>
      <c r="B196" t="s">
        <v>28</v>
      </c>
      <c r="C196" s="1" t="s">
        <v>29</v>
      </c>
      <c r="D196" t="s">
        <v>1231</v>
      </c>
      <c r="E196" t="s">
        <v>569</v>
      </c>
      <c r="F196" s="31">
        <v>1503.1</v>
      </c>
      <c r="G196" s="17">
        <v>72</v>
      </c>
      <c r="H196" s="31">
        <v>3246.85</v>
      </c>
      <c r="I196" s="31">
        <f t="shared" si="12"/>
        <v>104976.34999999999</v>
      </c>
      <c r="J196" s="16">
        <f t="shared" si="13"/>
        <v>96228.320833333317</v>
      </c>
      <c r="K196">
        <v>12</v>
      </c>
      <c r="L196" s="16">
        <f t="shared" si="14"/>
        <v>11547.398499999999</v>
      </c>
      <c r="M196">
        <v>0</v>
      </c>
      <c r="N196" s="16">
        <f t="shared" si="15"/>
        <v>0</v>
      </c>
    </row>
    <row r="197" spans="1:14" x14ac:dyDescent="0.25">
      <c r="A197" s="29">
        <v>12</v>
      </c>
      <c r="B197" t="s">
        <v>28</v>
      </c>
      <c r="C197" s="1" t="s">
        <v>29</v>
      </c>
      <c r="D197" t="s">
        <v>1271</v>
      </c>
      <c r="E197" t="s">
        <v>569</v>
      </c>
      <c r="F197" s="31">
        <v>1503.11</v>
      </c>
      <c r="G197" s="17">
        <v>144</v>
      </c>
      <c r="H197" s="31">
        <v>6492.79</v>
      </c>
      <c r="I197" s="31">
        <f t="shared" si="12"/>
        <v>209955.05</v>
      </c>
      <c r="J197" s="16">
        <f t="shared" si="13"/>
        <v>192458.79583333331</v>
      </c>
      <c r="K197">
        <v>12</v>
      </c>
      <c r="L197" s="16">
        <f t="shared" si="14"/>
        <v>23095.055499999999</v>
      </c>
      <c r="M197">
        <v>0</v>
      </c>
      <c r="N197" s="16">
        <f t="shared" si="15"/>
        <v>0</v>
      </c>
    </row>
    <row r="198" spans="1:14" x14ac:dyDescent="0.25">
      <c r="A198" s="29">
        <v>12</v>
      </c>
      <c r="B198" t="s">
        <v>28</v>
      </c>
      <c r="C198" s="1" t="s">
        <v>29</v>
      </c>
      <c r="D198" t="s">
        <v>1322</v>
      </c>
      <c r="E198" t="s">
        <v>569</v>
      </c>
      <c r="F198" s="31">
        <v>7250</v>
      </c>
      <c r="G198" s="17">
        <v>6</v>
      </c>
      <c r="H198" s="31">
        <v>1305.4100000000001</v>
      </c>
      <c r="I198" s="31">
        <f t="shared" si="12"/>
        <v>42194.59</v>
      </c>
      <c r="J198" s="16">
        <f t="shared" si="13"/>
        <v>38678.374166666661</v>
      </c>
      <c r="K198">
        <v>12</v>
      </c>
      <c r="L198" s="16">
        <f t="shared" si="14"/>
        <v>4641.4048999999995</v>
      </c>
      <c r="M198">
        <v>0</v>
      </c>
      <c r="N198" s="16">
        <f t="shared" si="15"/>
        <v>0</v>
      </c>
    </row>
    <row r="199" spans="1:14" x14ac:dyDescent="0.25">
      <c r="A199" s="29">
        <v>12</v>
      </c>
      <c r="B199" t="s">
        <v>28</v>
      </c>
      <c r="C199" s="1" t="s">
        <v>29</v>
      </c>
      <c r="D199" t="s">
        <v>1310</v>
      </c>
      <c r="E199" t="s">
        <v>569</v>
      </c>
      <c r="F199" s="31">
        <v>7250.15</v>
      </c>
      <c r="G199" s="17">
        <v>3</v>
      </c>
      <c r="H199" s="31">
        <v>653.15</v>
      </c>
      <c r="I199" s="31">
        <f t="shared" si="12"/>
        <v>21097.299999999996</v>
      </c>
      <c r="J199" s="16">
        <f t="shared" si="13"/>
        <v>19339.191666666662</v>
      </c>
      <c r="K199">
        <v>12</v>
      </c>
      <c r="L199" s="16">
        <f t="shared" si="14"/>
        <v>2320.7029999999995</v>
      </c>
      <c r="M199">
        <v>0</v>
      </c>
      <c r="N199" s="16">
        <f t="shared" si="15"/>
        <v>0</v>
      </c>
    </row>
    <row r="200" spans="1:14" x14ac:dyDescent="0.25">
      <c r="A200" s="29">
        <v>12</v>
      </c>
      <c r="B200" t="s">
        <v>28</v>
      </c>
      <c r="C200" s="1" t="s">
        <v>29</v>
      </c>
      <c r="D200" t="s">
        <v>1274</v>
      </c>
      <c r="E200" t="s">
        <v>569</v>
      </c>
      <c r="F200" s="31">
        <v>3680</v>
      </c>
      <c r="G200" s="17">
        <v>20</v>
      </c>
      <c r="H200" s="31">
        <v>2208.11</v>
      </c>
      <c r="I200" s="31">
        <f t="shared" si="12"/>
        <v>71391.89</v>
      </c>
      <c r="J200" s="16">
        <f t="shared" si="13"/>
        <v>65442.565833333327</v>
      </c>
      <c r="K200">
        <v>12</v>
      </c>
      <c r="L200" s="16">
        <f t="shared" si="14"/>
        <v>7853.1078999999991</v>
      </c>
      <c r="M200">
        <v>0</v>
      </c>
      <c r="N200" s="16">
        <f t="shared" si="15"/>
        <v>0</v>
      </c>
    </row>
    <row r="201" spans="1:14" x14ac:dyDescent="0.25">
      <c r="A201" s="29">
        <v>12</v>
      </c>
      <c r="B201" t="s">
        <v>28</v>
      </c>
      <c r="C201" s="1" t="s">
        <v>29</v>
      </c>
      <c r="D201" t="s">
        <v>1256</v>
      </c>
      <c r="E201" t="s">
        <v>569</v>
      </c>
      <c r="F201" s="31">
        <v>3680</v>
      </c>
      <c r="G201" s="17">
        <v>10</v>
      </c>
      <c r="H201" s="31">
        <v>1103.5999999999999</v>
      </c>
      <c r="I201" s="31">
        <f t="shared" si="12"/>
        <v>35696.400000000001</v>
      </c>
      <c r="J201" s="16">
        <f t="shared" si="13"/>
        <v>32721.7</v>
      </c>
      <c r="K201">
        <v>12</v>
      </c>
      <c r="L201" s="16">
        <f t="shared" si="14"/>
        <v>3926.6040000000003</v>
      </c>
      <c r="M201">
        <v>0</v>
      </c>
      <c r="N201" s="16">
        <f t="shared" si="15"/>
        <v>0</v>
      </c>
    </row>
    <row r="202" spans="1:14" x14ac:dyDescent="0.25">
      <c r="A202" s="29">
        <v>13</v>
      </c>
      <c r="B202" t="s">
        <v>28</v>
      </c>
      <c r="C202" s="1" t="s">
        <v>29</v>
      </c>
      <c r="D202" t="s">
        <v>1296</v>
      </c>
      <c r="E202" t="s">
        <v>569</v>
      </c>
      <c r="F202" s="31">
        <v>281.39</v>
      </c>
      <c r="G202" s="17">
        <v>1440</v>
      </c>
      <c r="H202" s="31">
        <v>12155.86</v>
      </c>
      <c r="I202" s="31">
        <f t="shared" si="12"/>
        <v>393045.74</v>
      </c>
      <c r="J202" s="16">
        <f t="shared" si="13"/>
        <v>360291.92833333329</v>
      </c>
      <c r="K202">
        <v>12</v>
      </c>
      <c r="L202" s="16">
        <f t="shared" si="14"/>
        <v>43235.0314</v>
      </c>
      <c r="M202">
        <v>0</v>
      </c>
      <c r="N202" s="16">
        <f t="shared" si="15"/>
        <v>0</v>
      </c>
    </row>
    <row r="203" spans="1:14" x14ac:dyDescent="0.25">
      <c r="A203" s="29">
        <v>13</v>
      </c>
      <c r="B203" t="s">
        <v>28</v>
      </c>
      <c r="C203" s="1" t="s">
        <v>29</v>
      </c>
      <c r="D203" t="s">
        <v>1237</v>
      </c>
      <c r="E203" t="s">
        <v>569</v>
      </c>
      <c r="F203" s="31">
        <v>3966.67</v>
      </c>
      <c r="G203" s="17">
        <v>72</v>
      </c>
      <c r="H203" s="31">
        <v>8567.57</v>
      </c>
      <c r="I203" s="31">
        <f t="shared" si="12"/>
        <v>277032.67</v>
      </c>
      <c r="J203" s="16">
        <f t="shared" si="13"/>
        <v>253946.61416666664</v>
      </c>
      <c r="K203">
        <v>12</v>
      </c>
      <c r="L203" s="16">
        <f t="shared" si="14"/>
        <v>30473.593699999998</v>
      </c>
      <c r="M203">
        <v>0</v>
      </c>
      <c r="N203" s="16">
        <f t="shared" si="15"/>
        <v>0</v>
      </c>
    </row>
    <row r="204" spans="1:14" x14ac:dyDescent="0.25">
      <c r="A204" s="29">
        <v>13</v>
      </c>
      <c r="B204" t="s">
        <v>28</v>
      </c>
      <c r="C204" s="1" t="s">
        <v>29</v>
      </c>
      <c r="D204" t="s">
        <v>1277</v>
      </c>
      <c r="E204" t="s">
        <v>569</v>
      </c>
      <c r="F204" s="31">
        <v>1503.11</v>
      </c>
      <c r="G204" s="17">
        <v>144</v>
      </c>
      <c r="H204" s="31">
        <v>6492.79</v>
      </c>
      <c r="I204" s="31">
        <f t="shared" si="12"/>
        <v>209955.05</v>
      </c>
      <c r="J204" s="16">
        <f t="shared" si="13"/>
        <v>192458.79583333331</v>
      </c>
      <c r="K204">
        <v>12</v>
      </c>
      <c r="L204" s="16">
        <f t="shared" si="14"/>
        <v>23095.055499999999</v>
      </c>
      <c r="M204">
        <v>0</v>
      </c>
      <c r="N204" s="16">
        <f t="shared" si="15"/>
        <v>0</v>
      </c>
    </row>
    <row r="205" spans="1:14" x14ac:dyDescent="0.25">
      <c r="A205" s="29">
        <v>13</v>
      </c>
      <c r="B205" t="s">
        <v>28</v>
      </c>
      <c r="C205" s="1" t="s">
        <v>29</v>
      </c>
      <c r="D205" t="s">
        <v>1279</v>
      </c>
      <c r="E205" t="s">
        <v>569</v>
      </c>
      <c r="F205" s="31">
        <v>1503.11</v>
      </c>
      <c r="G205" s="17">
        <v>144</v>
      </c>
      <c r="H205" s="31">
        <v>6492.79</v>
      </c>
      <c r="I205" s="31">
        <f t="shared" si="12"/>
        <v>209955.05</v>
      </c>
      <c r="J205" s="16">
        <f t="shared" si="13"/>
        <v>192458.79583333331</v>
      </c>
      <c r="K205">
        <v>12</v>
      </c>
      <c r="L205" s="16">
        <f t="shared" si="14"/>
        <v>23095.055499999999</v>
      </c>
      <c r="M205">
        <v>0</v>
      </c>
      <c r="N205" s="16">
        <f t="shared" si="15"/>
        <v>0</v>
      </c>
    </row>
    <row r="206" spans="1:14" x14ac:dyDescent="0.25">
      <c r="A206" s="29">
        <v>13</v>
      </c>
      <c r="B206" t="s">
        <v>28</v>
      </c>
      <c r="C206" s="1" t="s">
        <v>29</v>
      </c>
      <c r="D206" t="s">
        <v>1213</v>
      </c>
      <c r="E206" t="s">
        <v>569</v>
      </c>
      <c r="F206" s="31">
        <v>1503.11</v>
      </c>
      <c r="G206" s="17">
        <v>144</v>
      </c>
      <c r="H206" s="31">
        <v>6492.79</v>
      </c>
      <c r="I206" s="31">
        <f t="shared" si="12"/>
        <v>209955.05</v>
      </c>
      <c r="J206" s="16">
        <f t="shared" si="13"/>
        <v>192458.79583333331</v>
      </c>
      <c r="K206">
        <v>12</v>
      </c>
      <c r="L206" s="16">
        <f t="shared" si="14"/>
        <v>23095.055499999999</v>
      </c>
      <c r="M206">
        <v>0</v>
      </c>
      <c r="N206" s="16">
        <f t="shared" si="15"/>
        <v>0</v>
      </c>
    </row>
    <row r="207" spans="1:14" x14ac:dyDescent="0.25">
      <c r="A207" s="29">
        <v>13</v>
      </c>
      <c r="B207" t="s">
        <v>28</v>
      </c>
      <c r="C207" s="1" t="s">
        <v>29</v>
      </c>
      <c r="D207" t="s">
        <v>1214</v>
      </c>
      <c r="E207" t="s">
        <v>569</v>
      </c>
      <c r="F207" s="31">
        <v>2190.17</v>
      </c>
      <c r="G207" s="17">
        <v>144</v>
      </c>
      <c r="H207" s="31">
        <v>9462.16</v>
      </c>
      <c r="I207" s="31">
        <f t="shared" si="12"/>
        <v>305922.32</v>
      </c>
      <c r="J207" s="16">
        <f t="shared" si="13"/>
        <v>280428.79333333333</v>
      </c>
      <c r="K207">
        <v>12</v>
      </c>
      <c r="L207" s="16">
        <f t="shared" si="14"/>
        <v>33651.455199999997</v>
      </c>
      <c r="M207">
        <v>0</v>
      </c>
      <c r="N207" s="16">
        <f t="shared" si="15"/>
        <v>0</v>
      </c>
    </row>
    <row r="208" spans="1:14" x14ac:dyDescent="0.25">
      <c r="A208" s="29">
        <v>13</v>
      </c>
      <c r="B208" t="s">
        <v>28</v>
      </c>
      <c r="C208" s="1" t="s">
        <v>29</v>
      </c>
      <c r="D208" t="s">
        <v>1314</v>
      </c>
      <c r="E208" t="s">
        <v>569</v>
      </c>
      <c r="F208" s="31">
        <v>956.17</v>
      </c>
      <c r="G208" s="17">
        <v>250</v>
      </c>
      <c r="H208" s="31">
        <v>7171.17</v>
      </c>
      <c r="I208" s="31">
        <f t="shared" si="12"/>
        <v>231871.33</v>
      </c>
      <c r="J208" s="16">
        <f t="shared" si="13"/>
        <v>212548.71916666665</v>
      </c>
      <c r="K208">
        <v>12</v>
      </c>
      <c r="L208" s="16">
        <f t="shared" si="14"/>
        <v>25505.846299999997</v>
      </c>
      <c r="M208">
        <v>0</v>
      </c>
      <c r="N208" s="16">
        <f t="shared" si="15"/>
        <v>0</v>
      </c>
    </row>
    <row r="209" spans="1:14" x14ac:dyDescent="0.25">
      <c r="A209" s="29">
        <v>13</v>
      </c>
      <c r="B209" t="s">
        <v>28</v>
      </c>
      <c r="C209" s="1" t="s">
        <v>29</v>
      </c>
      <c r="D209" t="s">
        <v>1238</v>
      </c>
      <c r="E209" t="s">
        <v>569</v>
      </c>
      <c r="F209" s="31">
        <v>956.17</v>
      </c>
      <c r="G209" s="17">
        <v>250</v>
      </c>
      <c r="H209" s="31">
        <v>7171.17</v>
      </c>
      <c r="I209" s="31">
        <f t="shared" si="12"/>
        <v>231871.33</v>
      </c>
      <c r="J209" s="16">
        <f t="shared" si="13"/>
        <v>212548.71916666665</v>
      </c>
      <c r="K209">
        <v>12</v>
      </c>
      <c r="L209" s="16">
        <f t="shared" si="14"/>
        <v>25505.846299999997</v>
      </c>
      <c r="M209">
        <v>0</v>
      </c>
      <c r="N209" s="16">
        <f t="shared" si="15"/>
        <v>0</v>
      </c>
    </row>
    <row r="210" spans="1:14" x14ac:dyDescent="0.25">
      <c r="A210" s="29">
        <v>13</v>
      </c>
      <c r="B210" t="s">
        <v>28</v>
      </c>
      <c r="C210" s="1" t="s">
        <v>29</v>
      </c>
      <c r="D210" t="s">
        <v>1262</v>
      </c>
      <c r="E210" t="s">
        <v>569</v>
      </c>
      <c r="F210" s="31">
        <v>956.17</v>
      </c>
      <c r="G210" s="17">
        <v>250</v>
      </c>
      <c r="H210" s="31">
        <v>7171.17</v>
      </c>
      <c r="I210" s="31">
        <f t="shared" si="12"/>
        <v>231871.33</v>
      </c>
      <c r="J210" s="16">
        <f t="shared" si="13"/>
        <v>212548.71916666665</v>
      </c>
      <c r="K210">
        <v>12</v>
      </c>
      <c r="L210" s="16">
        <f t="shared" si="14"/>
        <v>25505.846299999997</v>
      </c>
      <c r="M210">
        <v>0</v>
      </c>
      <c r="N210" s="16">
        <f t="shared" si="15"/>
        <v>0</v>
      </c>
    </row>
    <row r="211" spans="1:14" x14ac:dyDescent="0.25">
      <c r="A211" s="29">
        <v>13</v>
      </c>
      <c r="B211" t="s">
        <v>28</v>
      </c>
      <c r="C211" s="1" t="s">
        <v>29</v>
      </c>
      <c r="D211" t="s">
        <v>1239</v>
      </c>
      <c r="E211" t="s">
        <v>569</v>
      </c>
      <c r="F211" s="31">
        <v>956.17</v>
      </c>
      <c r="G211" s="17">
        <v>500</v>
      </c>
      <c r="H211" s="31">
        <v>14343.24</v>
      </c>
      <c r="I211" s="31">
        <f t="shared" si="12"/>
        <v>463741.76</v>
      </c>
      <c r="J211" s="16">
        <f t="shared" si="13"/>
        <v>425096.61333333334</v>
      </c>
      <c r="K211">
        <v>12</v>
      </c>
      <c r="L211" s="16">
        <f t="shared" si="14"/>
        <v>51011.5936</v>
      </c>
      <c r="M211">
        <v>0</v>
      </c>
      <c r="N211" s="16">
        <f t="shared" si="15"/>
        <v>0</v>
      </c>
    </row>
    <row r="212" spans="1:14" x14ac:dyDescent="0.25">
      <c r="A212" s="29">
        <v>13</v>
      </c>
      <c r="B212" t="s">
        <v>28</v>
      </c>
      <c r="C212" s="1" t="s">
        <v>29</v>
      </c>
      <c r="D212" t="s">
        <v>1323</v>
      </c>
      <c r="E212" t="s">
        <v>569</v>
      </c>
      <c r="F212" s="31">
        <v>956.17</v>
      </c>
      <c r="G212" s="17">
        <v>250</v>
      </c>
      <c r="H212" s="31">
        <v>7171.17</v>
      </c>
      <c r="I212" s="31">
        <f t="shared" si="12"/>
        <v>231871.33</v>
      </c>
      <c r="J212" s="16">
        <f t="shared" si="13"/>
        <v>212548.71916666665</v>
      </c>
      <c r="K212">
        <v>12</v>
      </c>
      <c r="L212" s="16">
        <f t="shared" si="14"/>
        <v>25505.846299999997</v>
      </c>
      <c r="M212">
        <v>0</v>
      </c>
      <c r="N212" s="16">
        <f t="shared" si="15"/>
        <v>0</v>
      </c>
    </row>
    <row r="213" spans="1:14" x14ac:dyDescent="0.25">
      <c r="A213" s="29">
        <v>13</v>
      </c>
      <c r="B213" t="s">
        <v>28</v>
      </c>
      <c r="C213" s="1" t="s">
        <v>29</v>
      </c>
      <c r="D213" t="s">
        <v>1242</v>
      </c>
      <c r="E213" t="s">
        <v>569</v>
      </c>
      <c r="F213" s="31">
        <v>956.17</v>
      </c>
      <c r="G213" s="17">
        <v>250</v>
      </c>
      <c r="H213" s="31">
        <v>7171.17</v>
      </c>
      <c r="I213" s="31">
        <f t="shared" si="12"/>
        <v>231871.33</v>
      </c>
      <c r="J213" s="16">
        <f t="shared" si="13"/>
        <v>212548.71916666665</v>
      </c>
      <c r="K213">
        <v>12</v>
      </c>
      <c r="L213" s="16">
        <f t="shared" si="14"/>
        <v>25505.846299999997</v>
      </c>
      <c r="M213">
        <v>0</v>
      </c>
      <c r="N213" s="16">
        <f t="shared" si="15"/>
        <v>0</v>
      </c>
    </row>
    <row r="214" spans="1:14" x14ac:dyDescent="0.25">
      <c r="A214" s="29">
        <v>13</v>
      </c>
      <c r="B214" t="s">
        <v>28</v>
      </c>
      <c r="C214" s="1" t="s">
        <v>29</v>
      </c>
      <c r="D214" t="s">
        <v>1315</v>
      </c>
      <c r="E214" t="s">
        <v>569</v>
      </c>
      <c r="F214" s="31">
        <v>956.17</v>
      </c>
      <c r="G214" s="17">
        <v>250</v>
      </c>
      <c r="H214" s="31">
        <v>7171.17</v>
      </c>
      <c r="I214" s="31">
        <f t="shared" si="12"/>
        <v>231871.33</v>
      </c>
      <c r="J214" s="16">
        <f t="shared" si="13"/>
        <v>212548.71916666665</v>
      </c>
      <c r="K214">
        <v>12</v>
      </c>
      <c r="L214" s="16">
        <f t="shared" si="14"/>
        <v>25505.846299999997</v>
      </c>
      <c r="M214">
        <v>0</v>
      </c>
      <c r="N214" s="16">
        <f t="shared" si="15"/>
        <v>0</v>
      </c>
    </row>
    <row r="215" spans="1:14" x14ac:dyDescent="0.25">
      <c r="A215" s="29">
        <v>13</v>
      </c>
      <c r="B215" t="s">
        <v>28</v>
      </c>
      <c r="C215" s="1" t="s">
        <v>29</v>
      </c>
      <c r="D215" t="s">
        <v>1243</v>
      </c>
      <c r="E215" t="s">
        <v>569</v>
      </c>
      <c r="F215" s="31">
        <v>956.17</v>
      </c>
      <c r="G215" s="17">
        <v>250</v>
      </c>
      <c r="H215" s="31">
        <v>7171.17</v>
      </c>
      <c r="I215" s="31">
        <f t="shared" si="12"/>
        <v>231871.33</v>
      </c>
      <c r="J215" s="16">
        <f t="shared" si="13"/>
        <v>212548.71916666665</v>
      </c>
      <c r="K215">
        <v>12</v>
      </c>
      <c r="L215" s="16">
        <f t="shared" si="14"/>
        <v>25505.846299999997</v>
      </c>
      <c r="M215">
        <v>0</v>
      </c>
      <c r="N215" s="16">
        <f t="shared" si="15"/>
        <v>0</v>
      </c>
    </row>
    <row r="216" spans="1:14" x14ac:dyDescent="0.25">
      <c r="A216" s="29">
        <v>13</v>
      </c>
      <c r="B216" t="s">
        <v>28</v>
      </c>
      <c r="C216" s="1" t="s">
        <v>29</v>
      </c>
      <c r="D216" t="s">
        <v>1244</v>
      </c>
      <c r="E216" t="s">
        <v>569</v>
      </c>
      <c r="F216" s="31">
        <v>956.17</v>
      </c>
      <c r="G216" s="17">
        <v>250</v>
      </c>
      <c r="H216" s="31">
        <v>7171.17</v>
      </c>
      <c r="I216" s="31">
        <f t="shared" si="12"/>
        <v>231871.33</v>
      </c>
      <c r="J216" s="16">
        <f t="shared" si="13"/>
        <v>212548.71916666665</v>
      </c>
      <c r="K216">
        <v>12</v>
      </c>
      <c r="L216" s="16">
        <f t="shared" si="14"/>
        <v>25505.846299999997</v>
      </c>
      <c r="M216">
        <v>0</v>
      </c>
      <c r="N216" s="16">
        <f t="shared" si="15"/>
        <v>0</v>
      </c>
    </row>
    <row r="217" spans="1:14" x14ac:dyDescent="0.25">
      <c r="A217" s="29">
        <v>13</v>
      </c>
      <c r="B217" t="s">
        <v>28</v>
      </c>
      <c r="C217" s="1" t="s">
        <v>29</v>
      </c>
      <c r="D217" t="s">
        <v>1245</v>
      </c>
      <c r="E217" t="s">
        <v>569</v>
      </c>
      <c r="F217" s="31">
        <v>956.17</v>
      </c>
      <c r="G217" s="17">
        <v>250</v>
      </c>
      <c r="H217" s="31">
        <v>7171.17</v>
      </c>
      <c r="I217" s="31">
        <f t="shared" si="12"/>
        <v>231871.33</v>
      </c>
      <c r="J217" s="16">
        <f t="shared" si="13"/>
        <v>212548.71916666665</v>
      </c>
      <c r="K217">
        <v>12</v>
      </c>
      <c r="L217" s="16">
        <f t="shared" si="14"/>
        <v>25505.846299999997</v>
      </c>
      <c r="M217">
        <v>0</v>
      </c>
      <c r="N217" s="16">
        <f t="shared" si="15"/>
        <v>0</v>
      </c>
    </row>
    <row r="218" spans="1:14" x14ac:dyDescent="0.25">
      <c r="A218" s="29">
        <v>13</v>
      </c>
      <c r="B218" t="s">
        <v>28</v>
      </c>
      <c r="C218" s="1" t="s">
        <v>29</v>
      </c>
      <c r="D218" t="s">
        <v>1300</v>
      </c>
      <c r="E218" t="s">
        <v>569</v>
      </c>
      <c r="F218" s="31">
        <v>270.49</v>
      </c>
      <c r="G218" s="17">
        <v>720</v>
      </c>
      <c r="H218" s="31">
        <v>5843.24</v>
      </c>
      <c r="I218" s="31">
        <f t="shared" si="12"/>
        <v>188909.56000000003</v>
      </c>
      <c r="J218" s="16">
        <f t="shared" si="13"/>
        <v>173167.09666666668</v>
      </c>
      <c r="K218">
        <v>12</v>
      </c>
      <c r="L218" s="16">
        <f t="shared" si="14"/>
        <v>20780.051600000003</v>
      </c>
      <c r="M218">
        <v>0</v>
      </c>
      <c r="N218" s="16">
        <f t="shared" si="15"/>
        <v>0</v>
      </c>
    </row>
    <row r="219" spans="1:14" x14ac:dyDescent="0.25">
      <c r="A219" s="29">
        <v>13</v>
      </c>
      <c r="B219" t="s">
        <v>28</v>
      </c>
      <c r="C219" s="1" t="s">
        <v>29</v>
      </c>
      <c r="D219" t="s">
        <v>1303</v>
      </c>
      <c r="E219" t="s">
        <v>569</v>
      </c>
      <c r="F219" s="31">
        <v>3669.96</v>
      </c>
      <c r="G219" s="17">
        <v>72</v>
      </c>
      <c r="H219" s="31">
        <v>7927.03</v>
      </c>
      <c r="I219" s="31">
        <f t="shared" si="12"/>
        <v>256310.09</v>
      </c>
      <c r="J219" s="16">
        <f t="shared" si="13"/>
        <v>234950.91583333333</v>
      </c>
      <c r="K219">
        <v>12</v>
      </c>
      <c r="L219" s="16">
        <f t="shared" si="14"/>
        <v>28194.109900000003</v>
      </c>
      <c r="M219">
        <v>0</v>
      </c>
      <c r="N219" s="16">
        <f t="shared" si="15"/>
        <v>0</v>
      </c>
    </row>
    <row r="220" spans="1:14" x14ac:dyDescent="0.25">
      <c r="A220" s="29">
        <v>13</v>
      </c>
      <c r="B220" t="s">
        <v>28</v>
      </c>
      <c r="C220" s="1" t="s">
        <v>29</v>
      </c>
      <c r="D220" t="s">
        <v>1305</v>
      </c>
      <c r="E220" t="s">
        <v>569</v>
      </c>
      <c r="F220" s="31">
        <v>956.17</v>
      </c>
      <c r="G220" s="17">
        <v>250</v>
      </c>
      <c r="H220" s="31">
        <v>7171.17</v>
      </c>
      <c r="I220" s="31">
        <f t="shared" si="12"/>
        <v>231871.33</v>
      </c>
      <c r="J220" s="16">
        <f t="shared" si="13"/>
        <v>212548.71916666665</v>
      </c>
      <c r="K220">
        <v>12</v>
      </c>
      <c r="L220" s="16">
        <f t="shared" si="14"/>
        <v>25505.846299999997</v>
      </c>
      <c r="M220">
        <v>0</v>
      </c>
      <c r="N220" s="16">
        <f t="shared" si="15"/>
        <v>0</v>
      </c>
    </row>
    <row r="221" spans="1:14" x14ac:dyDescent="0.25">
      <c r="A221" s="29">
        <v>13</v>
      </c>
      <c r="B221" t="s">
        <v>28</v>
      </c>
      <c r="C221" s="1" t="s">
        <v>29</v>
      </c>
      <c r="D221" t="s">
        <v>1324</v>
      </c>
      <c r="E221" t="s">
        <v>569</v>
      </c>
      <c r="F221" s="31">
        <v>1994.51</v>
      </c>
      <c r="G221" s="17">
        <v>144</v>
      </c>
      <c r="H221" s="31">
        <v>8616.2199999999993</v>
      </c>
      <c r="I221" s="31">
        <f t="shared" si="12"/>
        <v>278593.22000000003</v>
      </c>
      <c r="J221" s="16">
        <f t="shared" si="13"/>
        <v>255377.11833333335</v>
      </c>
      <c r="K221">
        <v>12</v>
      </c>
      <c r="L221" s="16">
        <f t="shared" si="14"/>
        <v>30645.254199999999</v>
      </c>
      <c r="M221">
        <v>0</v>
      </c>
      <c r="N221" s="16">
        <f t="shared" si="15"/>
        <v>0</v>
      </c>
    </row>
    <row r="222" spans="1:14" x14ac:dyDescent="0.25">
      <c r="A222" s="29">
        <v>13</v>
      </c>
      <c r="B222" t="s">
        <v>28</v>
      </c>
      <c r="C222" s="1" t="s">
        <v>29</v>
      </c>
      <c r="D222" t="s">
        <v>1320</v>
      </c>
      <c r="E222" t="s">
        <v>569</v>
      </c>
      <c r="F222" s="31">
        <v>1458.46</v>
      </c>
      <c r="G222" s="17">
        <v>144</v>
      </c>
      <c r="H222" s="31">
        <v>6300.9</v>
      </c>
      <c r="I222" s="31">
        <f t="shared" si="12"/>
        <v>203717.34</v>
      </c>
      <c r="J222" s="16">
        <f t="shared" si="13"/>
        <v>186740.89499999999</v>
      </c>
      <c r="K222">
        <v>12</v>
      </c>
      <c r="L222" s="16">
        <f t="shared" si="14"/>
        <v>22408.907399999996</v>
      </c>
      <c r="M222">
        <v>0</v>
      </c>
      <c r="N222" s="16">
        <f t="shared" si="15"/>
        <v>0</v>
      </c>
    </row>
    <row r="223" spans="1:14" x14ac:dyDescent="0.25">
      <c r="A223" s="29">
        <v>13</v>
      </c>
      <c r="B223" t="s">
        <v>28</v>
      </c>
      <c r="C223" s="1" t="s">
        <v>29</v>
      </c>
      <c r="D223" t="s">
        <v>1320</v>
      </c>
      <c r="E223" t="s">
        <v>569</v>
      </c>
      <c r="F223" s="31">
        <v>1389.19</v>
      </c>
      <c r="G223" s="17">
        <v>72</v>
      </c>
      <c r="H223" s="31">
        <f t="shared" ref="H223:H224" si="16">G223*F223</f>
        <v>100021.68000000001</v>
      </c>
      <c r="I223" s="31">
        <f t="shared" si="12"/>
        <v>0</v>
      </c>
      <c r="J223" s="16">
        <f t="shared" si="13"/>
        <v>0</v>
      </c>
      <c r="K223">
        <v>12</v>
      </c>
      <c r="L223" s="16">
        <f t="shared" si="14"/>
        <v>0</v>
      </c>
      <c r="M223">
        <v>0</v>
      </c>
      <c r="N223" s="16">
        <f t="shared" si="15"/>
        <v>0</v>
      </c>
    </row>
    <row r="224" spans="1:14" x14ac:dyDescent="0.25">
      <c r="A224" s="29">
        <v>13</v>
      </c>
      <c r="B224" t="s">
        <v>28</v>
      </c>
      <c r="C224" s="1" t="s">
        <v>29</v>
      </c>
      <c r="D224" t="s">
        <v>1325</v>
      </c>
      <c r="E224" t="s">
        <v>569</v>
      </c>
      <c r="F224" s="31">
        <v>1389.19</v>
      </c>
      <c r="G224" s="17">
        <v>72</v>
      </c>
      <c r="H224" s="31">
        <f t="shared" si="16"/>
        <v>100021.68000000001</v>
      </c>
      <c r="I224" s="31">
        <f t="shared" si="12"/>
        <v>0</v>
      </c>
      <c r="J224" s="16">
        <f t="shared" si="13"/>
        <v>0</v>
      </c>
      <c r="K224">
        <v>12</v>
      </c>
      <c r="L224" s="16">
        <f t="shared" si="14"/>
        <v>0</v>
      </c>
      <c r="M224">
        <v>0</v>
      </c>
      <c r="N224" s="16">
        <f t="shared" si="15"/>
        <v>0</v>
      </c>
    </row>
    <row r="225" spans="1:14" x14ac:dyDescent="0.25">
      <c r="A225" s="29">
        <v>13</v>
      </c>
      <c r="B225" t="s">
        <v>28</v>
      </c>
      <c r="C225" s="1" t="s">
        <v>29</v>
      </c>
      <c r="D225" t="s">
        <v>1326</v>
      </c>
      <c r="E225" t="s">
        <v>569</v>
      </c>
      <c r="F225" s="31">
        <v>3752.7</v>
      </c>
      <c r="G225" s="17">
        <v>12</v>
      </c>
      <c r="H225" s="31">
        <v>1351.35</v>
      </c>
      <c r="I225" s="31">
        <f t="shared" si="12"/>
        <v>43681.049999999996</v>
      </c>
      <c r="J225" s="16">
        <f t="shared" si="13"/>
        <v>40040.962499999994</v>
      </c>
      <c r="K225">
        <v>12</v>
      </c>
      <c r="L225" s="16">
        <f t="shared" si="14"/>
        <v>4804.9154999999992</v>
      </c>
      <c r="M225">
        <v>0</v>
      </c>
      <c r="N225" s="16">
        <f t="shared" si="15"/>
        <v>0</v>
      </c>
    </row>
    <row r="226" spans="1:14" x14ac:dyDescent="0.25">
      <c r="A226" s="29">
        <v>13</v>
      </c>
      <c r="B226" t="s">
        <v>28</v>
      </c>
      <c r="C226" s="1" t="s">
        <v>29</v>
      </c>
      <c r="D226" t="s">
        <v>1309</v>
      </c>
      <c r="E226" t="s">
        <v>569</v>
      </c>
      <c r="F226" s="31">
        <v>2190.17</v>
      </c>
      <c r="G226" s="17">
        <v>144</v>
      </c>
      <c r="H226" s="31">
        <v>9462.16</v>
      </c>
      <c r="I226" s="31">
        <f t="shared" si="12"/>
        <v>305922.32</v>
      </c>
      <c r="J226" s="16">
        <f t="shared" si="13"/>
        <v>280428.79333333333</v>
      </c>
      <c r="K226">
        <v>12</v>
      </c>
      <c r="L226" s="16">
        <f t="shared" si="14"/>
        <v>33651.455199999997</v>
      </c>
      <c r="M226">
        <v>0</v>
      </c>
      <c r="N226" s="16">
        <f t="shared" si="15"/>
        <v>0</v>
      </c>
    </row>
    <row r="227" spans="1:14" x14ac:dyDescent="0.25">
      <c r="A227" s="29">
        <v>14</v>
      </c>
      <c r="B227" t="s">
        <v>28</v>
      </c>
      <c r="C227" s="1" t="s">
        <v>29</v>
      </c>
      <c r="D227" t="s">
        <v>1327</v>
      </c>
      <c r="E227" t="s">
        <v>569</v>
      </c>
      <c r="F227" s="31">
        <v>78918.92</v>
      </c>
      <c r="G227" s="17">
        <v>16</v>
      </c>
      <c r="H227" s="31">
        <v>258738.74</v>
      </c>
      <c r="I227" s="31">
        <f t="shared" si="12"/>
        <v>1003963.98</v>
      </c>
      <c r="J227" s="16">
        <f t="shared" si="13"/>
        <v>920300.31499999994</v>
      </c>
      <c r="K227">
        <v>12</v>
      </c>
      <c r="L227" s="16">
        <f t="shared" si="14"/>
        <v>110436.03779999999</v>
      </c>
      <c r="M227">
        <v>0</v>
      </c>
      <c r="N227" s="16">
        <f t="shared" si="15"/>
        <v>0</v>
      </c>
    </row>
    <row r="228" spans="1:14" x14ac:dyDescent="0.25">
      <c r="A228" s="29">
        <v>14</v>
      </c>
      <c r="B228" t="s">
        <v>28</v>
      </c>
      <c r="C228" s="1" t="s">
        <v>29</v>
      </c>
      <c r="D228" t="s">
        <v>1328</v>
      </c>
      <c r="E228" t="s">
        <v>569</v>
      </c>
      <c r="F228" s="31">
        <v>75495.5</v>
      </c>
      <c r="G228" s="17">
        <v>32</v>
      </c>
      <c r="H228" s="31">
        <v>434594.59</v>
      </c>
      <c r="I228" s="31">
        <f t="shared" si="12"/>
        <v>1981261.41</v>
      </c>
      <c r="J228" s="16">
        <f t="shared" si="13"/>
        <v>1816156.2924999997</v>
      </c>
      <c r="K228">
        <v>12</v>
      </c>
      <c r="L228" s="16">
        <f t="shared" si="14"/>
        <v>217938.75509999998</v>
      </c>
      <c r="M228">
        <v>0</v>
      </c>
      <c r="N228" s="16">
        <f t="shared" si="15"/>
        <v>0</v>
      </c>
    </row>
    <row r="229" spans="1:14" x14ac:dyDescent="0.25">
      <c r="A229" s="29">
        <v>14</v>
      </c>
      <c r="B229" t="s">
        <v>28</v>
      </c>
      <c r="C229" s="1" t="s">
        <v>29</v>
      </c>
      <c r="D229" t="s">
        <v>1329</v>
      </c>
      <c r="E229" t="s">
        <v>569</v>
      </c>
      <c r="F229" s="31">
        <v>68288.289999999994</v>
      </c>
      <c r="G229" s="17">
        <v>32</v>
      </c>
      <c r="H229" s="31">
        <v>351711.71</v>
      </c>
      <c r="I229" s="31">
        <f t="shared" si="12"/>
        <v>1833513.5699999998</v>
      </c>
      <c r="J229" s="16">
        <f t="shared" si="13"/>
        <v>1680720.7724999997</v>
      </c>
      <c r="K229">
        <v>12</v>
      </c>
      <c r="L229" s="16">
        <f t="shared" si="14"/>
        <v>201686.49269999994</v>
      </c>
      <c r="M229">
        <v>0</v>
      </c>
      <c r="N229" s="16">
        <f t="shared" si="15"/>
        <v>0</v>
      </c>
    </row>
    <row r="230" spans="1:14" x14ac:dyDescent="0.25">
      <c r="A230" s="29">
        <v>14</v>
      </c>
      <c r="B230" t="s">
        <v>28</v>
      </c>
      <c r="C230" s="1" t="s">
        <v>29</v>
      </c>
      <c r="D230" t="s">
        <v>1283</v>
      </c>
      <c r="E230" t="s">
        <v>569</v>
      </c>
      <c r="F230" s="31">
        <v>61051.05</v>
      </c>
      <c r="G230" s="17">
        <v>12</v>
      </c>
      <c r="H230" s="31">
        <v>116396.4</v>
      </c>
      <c r="I230" s="31">
        <f t="shared" si="12"/>
        <v>616216.20000000007</v>
      </c>
      <c r="J230" s="16">
        <f t="shared" si="13"/>
        <v>564864.85000000009</v>
      </c>
      <c r="K230">
        <v>12</v>
      </c>
      <c r="L230" s="16">
        <f t="shared" si="14"/>
        <v>67783.782000000007</v>
      </c>
      <c r="M230">
        <v>0</v>
      </c>
      <c r="N230" s="16">
        <f t="shared" si="15"/>
        <v>0</v>
      </c>
    </row>
    <row r="231" spans="1:14" x14ac:dyDescent="0.25">
      <c r="A231" s="29">
        <v>14</v>
      </c>
      <c r="B231" t="s">
        <v>28</v>
      </c>
      <c r="C231" s="1" t="s">
        <v>29</v>
      </c>
      <c r="D231" t="s">
        <v>1330</v>
      </c>
      <c r="E231" t="s">
        <v>569</v>
      </c>
      <c r="F231" s="31">
        <v>62342.34</v>
      </c>
      <c r="G231" s="17">
        <v>6</v>
      </c>
      <c r="H231" s="31">
        <v>59459.46</v>
      </c>
      <c r="I231" s="31">
        <f t="shared" si="12"/>
        <v>314594.57999999996</v>
      </c>
      <c r="J231" s="16">
        <f t="shared" si="13"/>
        <v>288378.36499999993</v>
      </c>
      <c r="K231">
        <v>12</v>
      </c>
      <c r="L231" s="16">
        <f t="shared" si="14"/>
        <v>34605.403799999993</v>
      </c>
      <c r="M231">
        <v>0</v>
      </c>
      <c r="N231" s="16">
        <f t="shared" si="15"/>
        <v>0</v>
      </c>
    </row>
    <row r="232" spans="1:14" x14ac:dyDescent="0.25">
      <c r="A232" s="29">
        <v>15</v>
      </c>
      <c r="B232" t="s">
        <v>28</v>
      </c>
      <c r="C232" s="1" t="s">
        <v>29</v>
      </c>
      <c r="D232" t="s">
        <v>1331</v>
      </c>
      <c r="E232" t="s">
        <v>569</v>
      </c>
      <c r="F232" s="31">
        <v>581760.4</v>
      </c>
      <c r="G232" s="17">
        <v>1</v>
      </c>
      <c r="H232" s="31">
        <v>0</v>
      </c>
      <c r="I232" s="31">
        <f t="shared" si="12"/>
        <v>581760.4</v>
      </c>
      <c r="J232" s="16">
        <f t="shared" si="13"/>
        <v>533280.3666666667</v>
      </c>
      <c r="K232">
        <v>12</v>
      </c>
      <c r="L232" s="16">
        <f t="shared" si="14"/>
        <v>63993.644</v>
      </c>
      <c r="M232">
        <v>0</v>
      </c>
      <c r="N232" s="16">
        <f t="shared" si="15"/>
        <v>0</v>
      </c>
    </row>
    <row r="233" spans="1:14" x14ac:dyDescent="0.25">
      <c r="A233" s="29">
        <v>16</v>
      </c>
      <c r="B233" t="s">
        <v>28</v>
      </c>
      <c r="C233" s="1" t="s">
        <v>29</v>
      </c>
      <c r="D233" t="s">
        <v>1332</v>
      </c>
      <c r="E233" t="s">
        <v>569</v>
      </c>
      <c r="F233" s="31">
        <v>176846.85</v>
      </c>
      <c r="G233" s="17">
        <v>4</v>
      </c>
      <c r="H233" s="31">
        <v>113153.15</v>
      </c>
      <c r="I233" s="31">
        <f t="shared" si="12"/>
        <v>594234.25</v>
      </c>
      <c r="J233" s="16">
        <f t="shared" si="13"/>
        <v>544714.72916666663</v>
      </c>
      <c r="K233">
        <v>12</v>
      </c>
      <c r="L233" s="16">
        <f t="shared" si="14"/>
        <v>65365.767500000002</v>
      </c>
      <c r="M233">
        <v>0</v>
      </c>
      <c r="N233" s="16">
        <f t="shared" si="15"/>
        <v>0</v>
      </c>
    </row>
    <row r="234" spans="1:14" x14ac:dyDescent="0.25">
      <c r="A234" s="29">
        <v>16</v>
      </c>
      <c r="B234" t="s">
        <v>28</v>
      </c>
      <c r="C234" s="1" t="s">
        <v>29</v>
      </c>
      <c r="D234" t="s">
        <v>1333</v>
      </c>
      <c r="E234" t="s">
        <v>569</v>
      </c>
      <c r="F234" s="31">
        <v>202252.25</v>
      </c>
      <c r="G234" s="17">
        <v>3</v>
      </c>
      <c r="H234" s="31">
        <v>97027.03</v>
      </c>
      <c r="I234" s="31">
        <f t="shared" si="12"/>
        <v>509729.72</v>
      </c>
      <c r="J234" s="16">
        <f t="shared" si="13"/>
        <v>467252.24333333329</v>
      </c>
      <c r="K234">
        <v>12</v>
      </c>
      <c r="L234" s="16">
        <f t="shared" si="14"/>
        <v>56070.269200000002</v>
      </c>
      <c r="M234">
        <v>0</v>
      </c>
      <c r="N234" s="16">
        <f t="shared" si="15"/>
        <v>0</v>
      </c>
    </row>
    <row r="235" spans="1:14" x14ac:dyDescent="0.25">
      <c r="A235" s="29">
        <v>16</v>
      </c>
      <c r="B235" t="s">
        <v>28</v>
      </c>
      <c r="C235" s="1" t="s">
        <v>29</v>
      </c>
      <c r="D235" t="s">
        <v>1334</v>
      </c>
      <c r="E235" t="s">
        <v>569</v>
      </c>
      <c r="F235" s="31">
        <v>62612.61</v>
      </c>
      <c r="G235" s="17">
        <v>12</v>
      </c>
      <c r="H235" s="31">
        <v>187027.03</v>
      </c>
      <c r="I235" s="31">
        <f t="shared" si="12"/>
        <v>564324.29</v>
      </c>
      <c r="J235" s="16">
        <f t="shared" si="13"/>
        <v>517297.26583333337</v>
      </c>
      <c r="K235">
        <v>12</v>
      </c>
      <c r="L235" s="16">
        <f t="shared" si="14"/>
        <v>62075.671900000001</v>
      </c>
      <c r="M235">
        <v>0</v>
      </c>
      <c r="N235" s="16">
        <f t="shared" si="15"/>
        <v>0</v>
      </c>
    </row>
    <row r="236" spans="1:14" x14ac:dyDescent="0.25">
      <c r="A236" s="29">
        <v>16</v>
      </c>
      <c r="B236" t="s">
        <v>28</v>
      </c>
      <c r="C236" s="1" t="s">
        <v>29</v>
      </c>
      <c r="D236" t="s">
        <v>1335</v>
      </c>
      <c r="E236" t="s">
        <v>569</v>
      </c>
      <c r="F236" s="31">
        <v>62612.61</v>
      </c>
      <c r="G236" s="17">
        <v>12</v>
      </c>
      <c r="H236" s="31">
        <v>187027.03</v>
      </c>
      <c r="I236" s="31">
        <f t="shared" si="12"/>
        <v>564324.29</v>
      </c>
      <c r="J236" s="16">
        <f t="shared" si="13"/>
        <v>517297.26583333337</v>
      </c>
      <c r="K236">
        <v>12</v>
      </c>
      <c r="L236" s="16">
        <f t="shared" si="14"/>
        <v>62075.671900000001</v>
      </c>
      <c r="M236">
        <v>0</v>
      </c>
      <c r="N236" s="16">
        <f t="shared" si="15"/>
        <v>0</v>
      </c>
    </row>
    <row r="237" spans="1:14" x14ac:dyDescent="0.25">
      <c r="A237" s="29">
        <v>16</v>
      </c>
      <c r="B237" t="s">
        <v>28</v>
      </c>
      <c r="C237" s="1" t="s">
        <v>29</v>
      </c>
      <c r="D237" t="s">
        <v>1336</v>
      </c>
      <c r="E237" t="s">
        <v>569</v>
      </c>
      <c r="F237" s="31">
        <v>299099.09999999998</v>
      </c>
      <c r="G237" s="17">
        <v>6</v>
      </c>
      <c r="H237" s="31">
        <v>383783.78</v>
      </c>
      <c r="I237" s="31">
        <f t="shared" si="12"/>
        <v>1410810.8199999998</v>
      </c>
      <c r="J237" s="16">
        <f t="shared" si="13"/>
        <v>1293243.2516666665</v>
      </c>
      <c r="K237">
        <v>12</v>
      </c>
      <c r="L237" s="16">
        <f t="shared" si="14"/>
        <v>155189.19019999998</v>
      </c>
      <c r="M237">
        <v>0</v>
      </c>
      <c r="N237" s="16">
        <f t="shared" si="15"/>
        <v>0</v>
      </c>
    </row>
    <row r="238" spans="1:14" x14ac:dyDescent="0.25">
      <c r="A238" s="29">
        <v>16</v>
      </c>
      <c r="B238" t="s">
        <v>28</v>
      </c>
      <c r="C238" s="1" t="s">
        <v>29</v>
      </c>
      <c r="D238" t="s">
        <v>1337</v>
      </c>
      <c r="E238" t="s">
        <v>569</v>
      </c>
      <c r="F238" s="31">
        <v>100360.36</v>
      </c>
      <c r="G238" s="17">
        <v>12</v>
      </c>
      <c r="H238" s="31">
        <v>230270.27</v>
      </c>
      <c r="I238" s="31">
        <f t="shared" si="12"/>
        <v>974054.05</v>
      </c>
      <c r="J238" s="16">
        <f t="shared" si="13"/>
        <v>892882.87916666665</v>
      </c>
      <c r="K238">
        <v>12</v>
      </c>
      <c r="L238" s="16">
        <f t="shared" si="14"/>
        <v>107145.9455</v>
      </c>
      <c r="M238">
        <v>0</v>
      </c>
      <c r="N238" s="16">
        <f t="shared" si="15"/>
        <v>0</v>
      </c>
    </row>
    <row r="239" spans="1:14" x14ac:dyDescent="0.25">
      <c r="A239" s="29">
        <v>16</v>
      </c>
      <c r="B239" t="s">
        <v>28</v>
      </c>
      <c r="C239" s="1" t="s">
        <v>29</v>
      </c>
      <c r="D239" t="s">
        <v>1283</v>
      </c>
      <c r="E239" t="s">
        <v>569</v>
      </c>
      <c r="F239" s="31">
        <v>183153.15</v>
      </c>
      <c r="G239" s="17">
        <v>8</v>
      </c>
      <c r="H239" s="31">
        <v>248648.65</v>
      </c>
      <c r="I239" s="31">
        <f t="shared" si="12"/>
        <v>1216576.55</v>
      </c>
      <c r="J239" s="16">
        <f t="shared" si="13"/>
        <v>1115195.1708333334</v>
      </c>
      <c r="K239">
        <v>12</v>
      </c>
      <c r="L239" s="16">
        <f t="shared" si="14"/>
        <v>133823.42050000001</v>
      </c>
      <c r="M239">
        <v>0</v>
      </c>
      <c r="N239" s="16">
        <f t="shared" si="15"/>
        <v>0</v>
      </c>
    </row>
    <row r="240" spans="1:14" x14ac:dyDescent="0.25">
      <c r="A240" s="29">
        <v>16</v>
      </c>
      <c r="B240" t="s">
        <v>28</v>
      </c>
      <c r="C240" s="1" t="s">
        <v>29</v>
      </c>
      <c r="D240" t="s">
        <v>1330</v>
      </c>
      <c r="E240" t="s">
        <v>569</v>
      </c>
      <c r="F240" s="31">
        <v>31171.17</v>
      </c>
      <c r="G240" s="17">
        <v>24</v>
      </c>
      <c r="H240" s="31">
        <v>125405.41</v>
      </c>
      <c r="I240" s="31">
        <f t="shared" si="12"/>
        <v>622702.66999999993</v>
      </c>
      <c r="J240" s="16">
        <f t="shared" si="13"/>
        <v>570810.78083333327</v>
      </c>
      <c r="K240">
        <v>12</v>
      </c>
      <c r="L240" s="16">
        <f t="shared" si="14"/>
        <v>68497.293699999995</v>
      </c>
      <c r="M240">
        <v>0</v>
      </c>
      <c r="N240" s="16">
        <f t="shared" si="15"/>
        <v>0</v>
      </c>
    </row>
    <row r="241" spans="1:14" x14ac:dyDescent="0.25">
      <c r="A241" s="29">
        <v>17</v>
      </c>
      <c r="B241" t="s">
        <v>28</v>
      </c>
      <c r="C241" s="1" t="s">
        <v>29</v>
      </c>
      <c r="D241" t="s">
        <v>1278</v>
      </c>
      <c r="E241" t="s">
        <v>569</v>
      </c>
      <c r="F241" s="31">
        <v>1503.1</v>
      </c>
      <c r="G241" s="17">
        <v>36</v>
      </c>
      <c r="H241" s="31">
        <v>541.44000000000005</v>
      </c>
      <c r="I241" s="31">
        <f t="shared" si="12"/>
        <v>53570.159999999996</v>
      </c>
      <c r="J241" s="16">
        <f t="shared" si="13"/>
        <v>49105.979999999996</v>
      </c>
      <c r="K241">
        <v>12</v>
      </c>
      <c r="L241" s="16">
        <f t="shared" si="14"/>
        <v>5892.7175999999999</v>
      </c>
      <c r="M241">
        <v>0</v>
      </c>
      <c r="N241" s="16">
        <f t="shared" si="15"/>
        <v>0</v>
      </c>
    </row>
    <row r="242" spans="1:14" x14ac:dyDescent="0.25">
      <c r="A242" s="29">
        <v>17</v>
      </c>
      <c r="B242" t="s">
        <v>28</v>
      </c>
      <c r="C242" s="1" t="s">
        <v>29</v>
      </c>
      <c r="D242" t="s">
        <v>1212</v>
      </c>
      <c r="E242" t="s">
        <v>569</v>
      </c>
      <c r="F242" s="31">
        <v>1503.1</v>
      </c>
      <c r="G242" s="17">
        <v>36</v>
      </c>
      <c r="H242" s="31">
        <v>541.44000000000005</v>
      </c>
      <c r="I242" s="31">
        <f t="shared" si="12"/>
        <v>53570.159999999996</v>
      </c>
      <c r="J242" s="16">
        <f t="shared" si="13"/>
        <v>49105.979999999996</v>
      </c>
      <c r="K242">
        <v>12</v>
      </c>
      <c r="L242" s="16">
        <f t="shared" si="14"/>
        <v>5892.7175999999999</v>
      </c>
      <c r="M242">
        <v>0</v>
      </c>
      <c r="N242" s="16">
        <f t="shared" si="15"/>
        <v>0</v>
      </c>
    </row>
    <row r="243" spans="1:14" x14ac:dyDescent="0.25">
      <c r="A243" s="29">
        <v>17</v>
      </c>
      <c r="B243" t="s">
        <v>28</v>
      </c>
      <c r="C243" s="1" t="s">
        <v>29</v>
      </c>
      <c r="D243" t="s">
        <v>1279</v>
      </c>
      <c r="E243" t="s">
        <v>569</v>
      </c>
      <c r="F243" s="31">
        <v>1503.1</v>
      </c>
      <c r="G243" s="17">
        <v>36</v>
      </c>
      <c r="H243" s="31">
        <v>541.44000000000005</v>
      </c>
      <c r="I243" s="31">
        <f t="shared" si="12"/>
        <v>53570.159999999996</v>
      </c>
      <c r="J243" s="16">
        <f t="shared" si="13"/>
        <v>49105.979999999996</v>
      </c>
      <c r="K243">
        <v>12</v>
      </c>
      <c r="L243" s="16">
        <f t="shared" si="14"/>
        <v>5892.7175999999999</v>
      </c>
      <c r="M243">
        <v>0</v>
      </c>
      <c r="N243" s="16">
        <f t="shared" si="15"/>
        <v>0</v>
      </c>
    </row>
    <row r="244" spans="1:14" x14ac:dyDescent="0.25">
      <c r="A244" s="29">
        <v>17</v>
      </c>
      <c r="B244" t="s">
        <v>28</v>
      </c>
      <c r="C244" s="1" t="s">
        <v>29</v>
      </c>
      <c r="D244" t="s">
        <v>1281</v>
      </c>
      <c r="E244" t="s">
        <v>569</v>
      </c>
      <c r="F244" s="31">
        <v>1503.1</v>
      </c>
      <c r="G244" s="17">
        <v>36</v>
      </c>
      <c r="H244" s="31">
        <v>541.44000000000005</v>
      </c>
      <c r="I244" s="31">
        <f t="shared" si="12"/>
        <v>53570.159999999996</v>
      </c>
      <c r="J244" s="16">
        <f t="shared" si="13"/>
        <v>49105.979999999996</v>
      </c>
      <c r="K244">
        <v>12</v>
      </c>
      <c r="L244" s="16">
        <f t="shared" si="14"/>
        <v>5892.7175999999999</v>
      </c>
      <c r="M244">
        <v>0</v>
      </c>
      <c r="N244" s="16">
        <f t="shared" si="15"/>
        <v>0</v>
      </c>
    </row>
    <row r="245" spans="1:14" x14ac:dyDescent="0.25">
      <c r="A245" s="29">
        <v>17</v>
      </c>
      <c r="B245" t="s">
        <v>28</v>
      </c>
      <c r="C245" s="1" t="s">
        <v>29</v>
      </c>
      <c r="D245" t="s">
        <v>1217</v>
      </c>
      <c r="E245" t="s">
        <v>569</v>
      </c>
      <c r="F245" s="31">
        <v>7411.08</v>
      </c>
      <c r="G245" s="17">
        <v>10</v>
      </c>
      <c r="H245" s="31">
        <v>741.44</v>
      </c>
      <c r="I245" s="31">
        <f t="shared" si="12"/>
        <v>73369.36</v>
      </c>
      <c r="J245" s="16">
        <f t="shared" si="13"/>
        <v>67255.246666666659</v>
      </c>
      <c r="K245">
        <v>12</v>
      </c>
      <c r="L245" s="16">
        <f t="shared" si="14"/>
        <v>8070.6295999999993</v>
      </c>
      <c r="M245">
        <v>0</v>
      </c>
      <c r="N245" s="16">
        <f t="shared" si="15"/>
        <v>0</v>
      </c>
    </row>
    <row r="246" spans="1:14" x14ac:dyDescent="0.25">
      <c r="A246" s="29">
        <v>17</v>
      </c>
      <c r="B246" t="s">
        <v>28</v>
      </c>
      <c r="C246" s="1" t="s">
        <v>29</v>
      </c>
      <c r="D246" t="s">
        <v>1219</v>
      </c>
      <c r="E246" t="s">
        <v>569</v>
      </c>
      <c r="F246" s="31">
        <v>7636.13</v>
      </c>
      <c r="G246" s="17">
        <v>10</v>
      </c>
      <c r="H246" s="31">
        <v>763.96</v>
      </c>
      <c r="I246" s="31">
        <f t="shared" si="12"/>
        <v>75597.34</v>
      </c>
      <c r="J246" s="16">
        <f t="shared" si="13"/>
        <v>69297.561666666661</v>
      </c>
      <c r="K246">
        <v>12</v>
      </c>
      <c r="L246" s="16">
        <f t="shared" si="14"/>
        <v>8315.7073999999993</v>
      </c>
      <c r="M246">
        <v>0</v>
      </c>
      <c r="N246" s="16">
        <f t="shared" si="15"/>
        <v>0</v>
      </c>
    </row>
    <row r="247" spans="1:14" x14ac:dyDescent="0.25">
      <c r="A247" s="29">
        <v>17</v>
      </c>
      <c r="B247" t="s">
        <v>28</v>
      </c>
      <c r="C247" s="1" t="s">
        <v>29</v>
      </c>
      <c r="D247" t="s">
        <v>1282</v>
      </c>
      <c r="E247" t="s">
        <v>569</v>
      </c>
      <c r="F247" s="31">
        <v>1503.1</v>
      </c>
      <c r="G247" s="17">
        <v>72</v>
      </c>
      <c r="H247" s="31">
        <v>1081.98</v>
      </c>
      <c r="I247" s="31">
        <f t="shared" si="12"/>
        <v>107141.22</v>
      </c>
      <c r="J247" s="16">
        <f t="shared" si="13"/>
        <v>98212.785000000003</v>
      </c>
      <c r="K247">
        <v>12</v>
      </c>
      <c r="L247" s="16">
        <f t="shared" si="14"/>
        <v>11785.5342</v>
      </c>
      <c r="M247">
        <v>0</v>
      </c>
      <c r="N247" s="16">
        <f t="shared" si="15"/>
        <v>0</v>
      </c>
    </row>
    <row r="248" spans="1:14" x14ac:dyDescent="0.25">
      <c r="A248" s="29">
        <v>18</v>
      </c>
      <c r="B248" t="s">
        <v>28</v>
      </c>
      <c r="C248" s="1" t="s">
        <v>29</v>
      </c>
      <c r="D248" t="s">
        <v>1259</v>
      </c>
      <c r="E248" t="s">
        <v>569</v>
      </c>
      <c r="F248" s="31">
        <v>4571.63</v>
      </c>
      <c r="G248" s="17">
        <v>432</v>
      </c>
      <c r="H248" s="31">
        <v>59247.75</v>
      </c>
      <c r="I248" s="31">
        <f t="shared" si="12"/>
        <v>1915696.4100000001</v>
      </c>
      <c r="J248" s="16">
        <f t="shared" si="13"/>
        <v>1756055.0425</v>
      </c>
      <c r="K248">
        <v>12</v>
      </c>
      <c r="L248" s="16">
        <f t="shared" si="14"/>
        <v>210726.60509999999</v>
      </c>
      <c r="M248">
        <v>0</v>
      </c>
      <c r="N248" s="16">
        <f t="shared" si="15"/>
        <v>0</v>
      </c>
    </row>
    <row r="249" spans="1:14" x14ac:dyDescent="0.25">
      <c r="A249" s="29">
        <v>18</v>
      </c>
      <c r="B249" t="s">
        <v>28</v>
      </c>
      <c r="C249" s="1" t="s">
        <v>29</v>
      </c>
      <c r="D249" t="s">
        <v>1338</v>
      </c>
      <c r="E249" t="s">
        <v>569</v>
      </c>
      <c r="F249" s="31">
        <v>257.52</v>
      </c>
      <c r="G249" s="17">
        <v>1440</v>
      </c>
      <c r="H249" s="31">
        <v>11125.23</v>
      </c>
      <c r="I249" s="31">
        <f t="shared" si="12"/>
        <v>359703.57</v>
      </c>
      <c r="J249" s="16">
        <f t="shared" si="13"/>
        <v>329728.27250000002</v>
      </c>
      <c r="K249">
        <v>12</v>
      </c>
      <c r="L249" s="16">
        <f t="shared" si="14"/>
        <v>39567.392700000004</v>
      </c>
      <c r="M249">
        <v>0</v>
      </c>
      <c r="N249" s="16">
        <f t="shared" si="15"/>
        <v>0</v>
      </c>
    </row>
    <row r="250" spans="1:14" x14ac:dyDescent="0.25">
      <c r="A250" s="29">
        <v>18</v>
      </c>
      <c r="B250" t="s">
        <v>28</v>
      </c>
      <c r="C250" s="1" t="s">
        <v>29</v>
      </c>
      <c r="D250" t="s">
        <v>1218</v>
      </c>
      <c r="E250" t="s">
        <v>569</v>
      </c>
      <c r="F250" s="31">
        <v>7411.11</v>
      </c>
      <c r="G250" s="17">
        <v>216</v>
      </c>
      <c r="H250" s="31">
        <v>48024.32</v>
      </c>
      <c r="I250" s="31">
        <f t="shared" si="12"/>
        <v>1552775.44</v>
      </c>
      <c r="J250" s="16">
        <f t="shared" si="13"/>
        <v>1423377.4866666666</v>
      </c>
      <c r="K250">
        <v>12</v>
      </c>
      <c r="L250" s="16">
        <f t="shared" si="14"/>
        <v>170805.2984</v>
      </c>
      <c r="M250">
        <v>0</v>
      </c>
      <c r="N250" s="16">
        <f t="shared" si="15"/>
        <v>0</v>
      </c>
    </row>
    <row r="251" spans="1:14" x14ac:dyDescent="0.25">
      <c r="A251" s="29">
        <v>18</v>
      </c>
      <c r="B251" t="s">
        <v>28</v>
      </c>
      <c r="C251" s="1" t="s">
        <v>29</v>
      </c>
      <c r="D251" t="s">
        <v>1247</v>
      </c>
      <c r="E251" t="s">
        <v>569</v>
      </c>
      <c r="F251" s="31">
        <v>974.43</v>
      </c>
      <c r="G251" s="17">
        <v>500</v>
      </c>
      <c r="H251" s="31">
        <v>14616.22</v>
      </c>
      <c r="I251" s="31">
        <f t="shared" si="12"/>
        <v>472598.78</v>
      </c>
      <c r="J251" s="16">
        <f t="shared" si="13"/>
        <v>433215.54833333334</v>
      </c>
      <c r="K251">
        <v>12</v>
      </c>
      <c r="L251" s="16">
        <f t="shared" si="14"/>
        <v>51985.8658</v>
      </c>
      <c r="M251">
        <v>0</v>
      </c>
      <c r="N251" s="16">
        <f t="shared" si="15"/>
        <v>0</v>
      </c>
    </row>
    <row r="252" spans="1:14" x14ac:dyDescent="0.25">
      <c r="A252" s="29">
        <v>18</v>
      </c>
      <c r="B252" t="s">
        <v>28</v>
      </c>
      <c r="C252" s="1" t="s">
        <v>29</v>
      </c>
      <c r="D252" t="s">
        <v>1339</v>
      </c>
      <c r="E252" t="s">
        <v>569</v>
      </c>
      <c r="F252" s="31">
        <v>4571.63</v>
      </c>
      <c r="G252" s="17">
        <v>144</v>
      </c>
      <c r="H252" s="31">
        <v>19748.650000000001</v>
      </c>
      <c r="I252" s="31">
        <f t="shared" si="12"/>
        <v>638566.06999999995</v>
      </c>
      <c r="J252" s="16">
        <f t="shared" si="13"/>
        <v>585352.23083333322</v>
      </c>
      <c r="K252">
        <v>12</v>
      </c>
      <c r="L252" s="16">
        <f t="shared" si="14"/>
        <v>70242.267699999982</v>
      </c>
      <c r="M252">
        <v>0</v>
      </c>
      <c r="N252" s="16">
        <f t="shared" si="15"/>
        <v>0</v>
      </c>
    </row>
    <row r="253" spans="1:14" x14ac:dyDescent="0.25">
      <c r="A253" s="29">
        <v>18</v>
      </c>
      <c r="B253" t="s">
        <v>28</v>
      </c>
      <c r="C253" s="1" t="s">
        <v>29</v>
      </c>
      <c r="D253" t="s">
        <v>1274</v>
      </c>
      <c r="E253" t="s">
        <v>569</v>
      </c>
      <c r="F253" s="31">
        <v>3680</v>
      </c>
      <c r="G253" s="17">
        <v>100</v>
      </c>
      <c r="H253" s="31">
        <v>11039.64</v>
      </c>
      <c r="I253" s="31">
        <f t="shared" si="12"/>
        <v>356960.36</v>
      </c>
      <c r="J253" s="16">
        <f t="shared" si="13"/>
        <v>327213.66333333333</v>
      </c>
      <c r="K253">
        <v>12</v>
      </c>
      <c r="L253" s="16">
        <f t="shared" si="14"/>
        <v>39265.639600000002</v>
      </c>
      <c r="M253">
        <v>0</v>
      </c>
      <c r="N253" s="16">
        <f t="shared" si="15"/>
        <v>0</v>
      </c>
    </row>
    <row r="254" spans="1:14" x14ac:dyDescent="0.25">
      <c r="A254" s="29">
        <v>19</v>
      </c>
      <c r="B254" t="s">
        <v>28</v>
      </c>
      <c r="C254" s="1" t="s">
        <v>29</v>
      </c>
      <c r="D254" t="s">
        <v>1257</v>
      </c>
      <c r="E254" t="s">
        <v>569</v>
      </c>
      <c r="F254" s="31">
        <v>3752.74</v>
      </c>
      <c r="G254" s="17">
        <v>24</v>
      </c>
      <c r="H254" s="31">
        <v>2701.8</v>
      </c>
      <c r="I254" s="31">
        <f t="shared" si="12"/>
        <v>87363.959999999992</v>
      </c>
      <c r="J254" s="16">
        <f t="shared" si="13"/>
        <v>80083.62999999999</v>
      </c>
      <c r="K254">
        <v>12</v>
      </c>
      <c r="L254" s="16">
        <f t="shared" si="14"/>
        <v>9610.0355999999974</v>
      </c>
      <c r="M254">
        <v>0</v>
      </c>
      <c r="N254" s="16">
        <f t="shared" si="15"/>
        <v>0</v>
      </c>
    </row>
    <row r="255" spans="1:14" x14ac:dyDescent="0.25">
      <c r="A255" s="29">
        <v>19</v>
      </c>
      <c r="B255" t="s">
        <v>28</v>
      </c>
      <c r="C255" s="1" t="s">
        <v>29</v>
      </c>
      <c r="D255" t="s">
        <v>1259</v>
      </c>
      <c r="E255" t="s">
        <v>569</v>
      </c>
      <c r="F255" s="31">
        <v>4571.63</v>
      </c>
      <c r="G255" s="17">
        <v>72</v>
      </c>
      <c r="H255" s="31">
        <v>9874.77</v>
      </c>
      <c r="I255" s="31">
        <f t="shared" si="12"/>
        <v>319282.58999999997</v>
      </c>
      <c r="J255" s="16">
        <f t="shared" si="13"/>
        <v>292675.70749999996</v>
      </c>
      <c r="K255">
        <v>12</v>
      </c>
      <c r="L255" s="16">
        <f t="shared" si="14"/>
        <v>35121.084899999994</v>
      </c>
      <c r="M255">
        <v>0</v>
      </c>
      <c r="N255" s="16">
        <f t="shared" si="15"/>
        <v>0</v>
      </c>
    </row>
    <row r="256" spans="1:14" x14ac:dyDescent="0.25">
      <c r="A256" s="29">
        <v>19</v>
      </c>
      <c r="B256" t="s">
        <v>28</v>
      </c>
      <c r="C256" s="1" t="s">
        <v>29</v>
      </c>
      <c r="D256" t="s">
        <v>1260</v>
      </c>
      <c r="E256" t="s">
        <v>569</v>
      </c>
      <c r="F256" s="31">
        <v>3752.74</v>
      </c>
      <c r="G256" s="17">
        <v>24</v>
      </c>
      <c r="H256" s="31">
        <v>2701.8</v>
      </c>
      <c r="I256" s="31">
        <f t="shared" si="12"/>
        <v>87363.959999999992</v>
      </c>
      <c r="J256" s="16">
        <f t="shared" si="13"/>
        <v>80083.62999999999</v>
      </c>
      <c r="K256">
        <v>12</v>
      </c>
      <c r="L256" s="16">
        <f t="shared" si="14"/>
        <v>9610.0355999999974</v>
      </c>
      <c r="M256">
        <v>0</v>
      </c>
      <c r="N256" s="16">
        <f t="shared" si="15"/>
        <v>0</v>
      </c>
    </row>
    <row r="257" spans="1:14" x14ac:dyDescent="0.25">
      <c r="A257" s="29">
        <v>19</v>
      </c>
      <c r="B257" t="s">
        <v>28</v>
      </c>
      <c r="C257" s="1" t="s">
        <v>29</v>
      </c>
      <c r="D257" t="s">
        <v>1237</v>
      </c>
      <c r="E257" t="s">
        <v>569</v>
      </c>
      <c r="F257" s="31">
        <v>3966.67</v>
      </c>
      <c r="G257" s="17">
        <v>36</v>
      </c>
      <c r="H257" s="31">
        <v>4283.78</v>
      </c>
      <c r="I257" s="31">
        <f t="shared" si="12"/>
        <v>138516.34</v>
      </c>
      <c r="J257" s="16">
        <f t="shared" si="13"/>
        <v>126973.31166666666</v>
      </c>
      <c r="K257">
        <v>12</v>
      </c>
      <c r="L257" s="16">
        <f t="shared" si="14"/>
        <v>15236.797399999999</v>
      </c>
      <c r="M257">
        <v>0</v>
      </c>
      <c r="N257" s="16">
        <f t="shared" si="15"/>
        <v>0</v>
      </c>
    </row>
    <row r="258" spans="1:14" x14ac:dyDescent="0.25">
      <c r="A258" s="29">
        <v>19</v>
      </c>
      <c r="B258" t="s">
        <v>28</v>
      </c>
      <c r="C258" s="1" t="s">
        <v>29</v>
      </c>
      <c r="D258" t="s">
        <v>1278</v>
      </c>
      <c r="E258" t="s">
        <v>569</v>
      </c>
      <c r="F258" s="31">
        <v>1503.1</v>
      </c>
      <c r="G258" s="17">
        <v>36</v>
      </c>
      <c r="H258" s="31">
        <v>1623.42</v>
      </c>
      <c r="I258" s="31">
        <f t="shared" si="12"/>
        <v>52488.18</v>
      </c>
      <c r="J258" s="16">
        <f t="shared" si="13"/>
        <v>48114.165000000001</v>
      </c>
      <c r="K258">
        <v>12</v>
      </c>
      <c r="L258" s="16">
        <f t="shared" si="14"/>
        <v>5773.6997999999994</v>
      </c>
      <c r="M258">
        <v>0</v>
      </c>
      <c r="N258" s="16">
        <f t="shared" si="15"/>
        <v>0</v>
      </c>
    </row>
    <row r="259" spans="1:14" x14ac:dyDescent="0.25">
      <c r="A259" s="29">
        <v>19</v>
      </c>
      <c r="B259" t="s">
        <v>28</v>
      </c>
      <c r="C259" s="1" t="s">
        <v>29</v>
      </c>
      <c r="D259" t="s">
        <v>1212</v>
      </c>
      <c r="E259" t="s">
        <v>569</v>
      </c>
      <c r="F259" s="31">
        <v>1503.12</v>
      </c>
      <c r="G259" s="17">
        <v>24</v>
      </c>
      <c r="H259" s="31">
        <v>1081.98</v>
      </c>
      <c r="I259" s="31">
        <f t="shared" ref="I259:I322" si="17">G259*F259-H259</f>
        <v>34992.899999999994</v>
      </c>
      <c r="J259" s="16">
        <f t="shared" ref="J259:J322" si="18">11/12*I259</f>
        <v>32076.824999999993</v>
      </c>
      <c r="K259">
        <v>12</v>
      </c>
      <c r="L259" s="16">
        <f t="shared" ref="L259:L322" si="19">J259*K259/100</f>
        <v>3849.2189999999991</v>
      </c>
      <c r="M259">
        <v>0</v>
      </c>
      <c r="N259" s="16">
        <f t="shared" ref="N259:N322" si="20">M259*J259/100</f>
        <v>0</v>
      </c>
    </row>
    <row r="260" spans="1:14" x14ac:dyDescent="0.25">
      <c r="A260" s="29">
        <v>19</v>
      </c>
      <c r="B260" t="s">
        <v>28</v>
      </c>
      <c r="C260" s="1" t="s">
        <v>29</v>
      </c>
      <c r="D260" t="s">
        <v>1281</v>
      </c>
      <c r="E260" t="s">
        <v>569</v>
      </c>
      <c r="F260" s="31">
        <v>1503.12</v>
      </c>
      <c r="G260" s="17">
        <v>24</v>
      </c>
      <c r="H260" s="31">
        <v>1081.98</v>
      </c>
      <c r="I260" s="31">
        <f t="shared" si="17"/>
        <v>34992.899999999994</v>
      </c>
      <c r="J260" s="16">
        <f t="shared" si="18"/>
        <v>32076.824999999993</v>
      </c>
      <c r="K260">
        <v>12</v>
      </c>
      <c r="L260" s="16">
        <f t="shared" si="19"/>
        <v>3849.2189999999991</v>
      </c>
      <c r="M260">
        <v>0</v>
      </c>
      <c r="N260" s="16">
        <f t="shared" si="20"/>
        <v>0</v>
      </c>
    </row>
    <row r="261" spans="1:14" x14ac:dyDescent="0.25">
      <c r="A261" s="29">
        <v>19</v>
      </c>
      <c r="B261" t="s">
        <v>28</v>
      </c>
      <c r="C261" s="1" t="s">
        <v>29</v>
      </c>
      <c r="D261" t="s">
        <v>1314</v>
      </c>
      <c r="E261" t="s">
        <v>569</v>
      </c>
      <c r="F261" s="31">
        <v>956.17</v>
      </c>
      <c r="G261" s="17">
        <v>250</v>
      </c>
      <c r="H261" s="31">
        <v>7171.17</v>
      </c>
      <c r="I261" s="31">
        <f t="shared" si="17"/>
        <v>231871.33</v>
      </c>
      <c r="J261" s="16">
        <f t="shared" si="18"/>
        <v>212548.71916666665</v>
      </c>
      <c r="K261">
        <v>12</v>
      </c>
      <c r="L261" s="16">
        <f t="shared" si="19"/>
        <v>25505.846299999997</v>
      </c>
      <c r="M261">
        <v>0</v>
      </c>
      <c r="N261" s="16">
        <f t="shared" si="20"/>
        <v>0</v>
      </c>
    </row>
    <row r="262" spans="1:14" x14ac:dyDescent="0.25">
      <c r="A262" s="29">
        <v>19</v>
      </c>
      <c r="B262" t="s">
        <v>28</v>
      </c>
      <c r="C262" s="1" t="s">
        <v>29</v>
      </c>
      <c r="D262" t="s">
        <v>1340</v>
      </c>
      <c r="E262" t="s">
        <v>569</v>
      </c>
      <c r="F262" s="31">
        <v>956.17</v>
      </c>
      <c r="G262" s="17">
        <v>250</v>
      </c>
      <c r="H262" s="31">
        <v>7171.17</v>
      </c>
      <c r="I262" s="31">
        <f t="shared" si="17"/>
        <v>231871.33</v>
      </c>
      <c r="J262" s="16">
        <f t="shared" si="18"/>
        <v>212548.71916666665</v>
      </c>
      <c r="K262">
        <v>12</v>
      </c>
      <c r="L262" s="16">
        <f t="shared" si="19"/>
        <v>25505.846299999997</v>
      </c>
      <c r="M262">
        <v>0</v>
      </c>
      <c r="N262" s="16">
        <f t="shared" si="20"/>
        <v>0</v>
      </c>
    </row>
    <row r="263" spans="1:14" x14ac:dyDescent="0.25">
      <c r="A263" s="29">
        <v>19</v>
      </c>
      <c r="B263" t="s">
        <v>28</v>
      </c>
      <c r="C263" s="1" t="s">
        <v>29</v>
      </c>
      <c r="D263" t="s">
        <v>1238</v>
      </c>
      <c r="E263" t="s">
        <v>569</v>
      </c>
      <c r="F263" s="31">
        <v>956.17</v>
      </c>
      <c r="G263" s="17">
        <v>500</v>
      </c>
      <c r="H263" s="31">
        <v>14343.24</v>
      </c>
      <c r="I263" s="31">
        <f t="shared" si="17"/>
        <v>463741.76</v>
      </c>
      <c r="J263" s="16">
        <f t="shared" si="18"/>
        <v>425096.61333333334</v>
      </c>
      <c r="K263">
        <v>12</v>
      </c>
      <c r="L263" s="16">
        <f t="shared" si="19"/>
        <v>51011.5936</v>
      </c>
      <c r="M263">
        <v>0</v>
      </c>
      <c r="N263" s="16">
        <f t="shared" si="20"/>
        <v>0</v>
      </c>
    </row>
    <row r="264" spans="1:14" x14ac:dyDescent="0.25">
      <c r="A264" s="29">
        <v>19</v>
      </c>
      <c r="B264" t="s">
        <v>28</v>
      </c>
      <c r="C264" s="1" t="s">
        <v>29</v>
      </c>
      <c r="D264" t="s">
        <v>1262</v>
      </c>
      <c r="E264" t="s">
        <v>569</v>
      </c>
      <c r="F264" s="31">
        <v>956.17</v>
      </c>
      <c r="G264" s="17">
        <v>500</v>
      </c>
      <c r="H264" s="31">
        <v>14343.24</v>
      </c>
      <c r="I264" s="31">
        <f t="shared" si="17"/>
        <v>463741.76</v>
      </c>
      <c r="J264" s="16">
        <f t="shared" si="18"/>
        <v>425096.61333333334</v>
      </c>
      <c r="K264">
        <v>12</v>
      </c>
      <c r="L264" s="16">
        <f t="shared" si="19"/>
        <v>51011.5936</v>
      </c>
      <c r="M264">
        <v>0</v>
      </c>
      <c r="N264" s="16">
        <f t="shared" si="20"/>
        <v>0</v>
      </c>
    </row>
    <row r="265" spans="1:14" x14ac:dyDescent="0.25">
      <c r="A265" s="29">
        <v>19</v>
      </c>
      <c r="B265" t="s">
        <v>28</v>
      </c>
      <c r="C265" s="1" t="s">
        <v>29</v>
      </c>
      <c r="D265" t="s">
        <v>1341</v>
      </c>
      <c r="E265" t="s">
        <v>569</v>
      </c>
      <c r="F265" s="31">
        <v>956.17</v>
      </c>
      <c r="G265" s="17">
        <v>250</v>
      </c>
      <c r="H265" s="31">
        <v>7171.17</v>
      </c>
      <c r="I265" s="31">
        <f t="shared" si="17"/>
        <v>231871.33</v>
      </c>
      <c r="J265" s="16">
        <f t="shared" si="18"/>
        <v>212548.71916666665</v>
      </c>
      <c r="K265">
        <v>12</v>
      </c>
      <c r="L265" s="16">
        <f t="shared" si="19"/>
        <v>25505.846299999997</v>
      </c>
      <c r="M265">
        <v>0</v>
      </c>
      <c r="N265" s="16">
        <f t="shared" si="20"/>
        <v>0</v>
      </c>
    </row>
    <row r="266" spans="1:14" x14ac:dyDescent="0.25">
      <c r="A266" s="29">
        <v>19</v>
      </c>
      <c r="B266" t="s">
        <v>28</v>
      </c>
      <c r="C266" s="1" t="s">
        <v>29</v>
      </c>
      <c r="D266" t="s">
        <v>1240</v>
      </c>
      <c r="E266" t="s">
        <v>569</v>
      </c>
      <c r="F266" s="31">
        <v>956.17</v>
      </c>
      <c r="G266" s="17">
        <v>250</v>
      </c>
      <c r="H266" s="31">
        <v>7171.17</v>
      </c>
      <c r="I266" s="31">
        <f t="shared" si="17"/>
        <v>231871.33</v>
      </c>
      <c r="J266" s="16">
        <f t="shared" si="18"/>
        <v>212548.71916666665</v>
      </c>
      <c r="K266">
        <v>12</v>
      </c>
      <c r="L266" s="16">
        <f t="shared" si="19"/>
        <v>25505.846299999997</v>
      </c>
      <c r="M266">
        <v>0</v>
      </c>
      <c r="N266" s="16">
        <f t="shared" si="20"/>
        <v>0</v>
      </c>
    </row>
    <row r="267" spans="1:14" x14ac:dyDescent="0.25">
      <c r="A267" s="29">
        <v>19</v>
      </c>
      <c r="B267" t="s">
        <v>28</v>
      </c>
      <c r="C267" s="1" t="s">
        <v>29</v>
      </c>
      <c r="D267" t="s">
        <v>1242</v>
      </c>
      <c r="E267" t="s">
        <v>569</v>
      </c>
      <c r="F267" s="31">
        <v>956.17</v>
      </c>
      <c r="G267" s="17">
        <v>500</v>
      </c>
      <c r="H267" s="31">
        <v>14343.24</v>
      </c>
      <c r="I267" s="31">
        <f t="shared" si="17"/>
        <v>463741.76</v>
      </c>
      <c r="J267" s="16">
        <f t="shared" si="18"/>
        <v>425096.61333333334</v>
      </c>
      <c r="K267">
        <v>12</v>
      </c>
      <c r="L267" s="16">
        <f t="shared" si="19"/>
        <v>51011.5936</v>
      </c>
      <c r="M267">
        <v>0</v>
      </c>
      <c r="N267" s="16">
        <f t="shared" si="20"/>
        <v>0</v>
      </c>
    </row>
    <row r="268" spans="1:14" x14ac:dyDescent="0.25">
      <c r="A268" s="29">
        <v>19</v>
      </c>
      <c r="B268" t="s">
        <v>28</v>
      </c>
      <c r="C268" s="1" t="s">
        <v>29</v>
      </c>
      <c r="D268" t="s">
        <v>1342</v>
      </c>
      <c r="E268" t="s">
        <v>569</v>
      </c>
      <c r="F268" s="31">
        <v>956.17</v>
      </c>
      <c r="G268" s="17">
        <v>150</v>
      </c>
      <c r="H268" s="31">
        <v>4302.7</v>
      </c>
      <c r="I268" s="31">
        <f t="shared" si="17"/>
        <v>139122.79999999999</v>
      </c>
      <c r="J268" s="16">
        <f t="shared" si="18"/>
        <v>127529.23333333332</v>
      </c>
      <c r="K268">
        <v>12</v>
      </c>
      <c r="L268" s="16">
        <f t="shared" si="19"/>
        <v>15303.507999999998</v>
      </c>
      <c r="M268">
        <v>0</v>
      </c>
      <c r="N268" s="16">
        <f t="shared" si="20"/>
        <v>0</v>
      </c>
    </row>
    <row r="269" spans="1:14" x14ac:dyDescent="0.25">
      <c r="A269" s="29">
        <v>19</v>
      </c>
      <c r="B269" t="s">
        <v>28</v>
      </c>
      <c r="C269" s="1" t="s">
        <v>29</v>
      </c>
      <c r="D269" t="s">
        <v>1244</v>
      </c>
      <c r="E269" t="s">
        <v>569</v>
      </c>
      <c r="F269" s="31">
        <v>956.17</v>
      </c>
      <c r="G269" s="17">
        <v>500</v>
      </c>
      <c r="H269" s="31">
        <v>14343.24</v>
      </c>
      <c r="I269" s="31">
        <f t="shared" si="17"/>
        <v>463741.76</v>
      </c>
      <c r="J269" s="16">
        <f t="shared" si="18"/>
        <v>425096.61333333334</v>
      </c>
      <c r="K269">
        <v>12</v>
      </c>
      <c r="L269" s="16">
        <f t="shared" si="19"/>
        <v>51011.5936</v>
      </c>
      <c r="M269">
        <v>0</v>
      </c>
      <c r="N269" s="16">
        <f t="shared" si="20"/>
        <v>0</v>
      </c>
    </row>
    <row r="270" spans="1:14" x14ac:dyDescent="0.25">
      <c r="A270" s="29">
        <v>19</v>
      </c>
      <c r="B270" t="s">
        <v>28</v>
      </c>
      <c r="C270" s="1" t="s">
        <v>29</v>
      </c>
      <c r="D270" t="s">
        <v>1245</v>
      </c>
      <c r="E270" t="s">
        <v>569</v>
      </c>
      <c r="F270" s="31">
        <v>956.17</v>
      </c>
      <c r="G270" s="17">
        <v>500</v>
      </c>
      <c r="H270" s="31">
        <v>14343.24</v>
      </c>
      <c r="I270" s="31">
        <f t="shared" si="17"/>
        <v>463741.76</v>
      </c>
      <c r="J270" s="16">
        <f t="shared" si="18"/>
        <v>425096.61333333334</v>
      </c>
      <c r="K270">
        <v>12</v>
      </c>
      <c r="L270" s="16">
        <f t="shared" si="19"/>
        <v>51011.5936</v>
      </c>
      <c r="M270">
        <v>0</v>
      </c>
      <c r="N270" s="16">
        <f t="shared" si="20"/>
        <v>0</v>
      </c>
    </row>
    <row r="271" spans="1:14" x14ac:dyDescent="0.25">
      <c r="A271" s="29">
        <v>19</v>
      </c>
      <c r="B271" t="s">
        <v>28</v>
      </c>
      <c r="C271" s="1" t="s">
        <v>29</v>
      </c>
      <c r="D271" t="s">
        <v>1297</v>
      </c>
      <c r="E271" t="s">
        <v>569</v>
      </c>
      <c r="F271" s="31">
        <v>270.49</v>
      </c>
      <c r="G271" s="17">
        <v>360</v>
      </c>
      <c r="H271" s="31">
        <v>2920.72</v>
      </c>
      <c r="I271" s="31">
        <f t="shared" si="17"/>
        <v>94455.680000000008</v>
      </c>
      <c r="J271" s="16">
        <f t="shared" si="18"/>
        <v>86584.373333333337</v>
      </c>
      <c r="K271">
        <v>12</v>
      </c>
      <c r="L271" s="16">
        <f t="shared" si="19"/>
        <v>10390.1248</v>
      </c>
      <c r="M271">
        <v>0</v>
      </c>
      <c r="N271" s="16">
        <f t="shared" si="20"/>
        <v>0</v>
      </c>
    </row>
    <row r="272" spans="1:14" x14ac:dyDescent="0.25">
      <c r="A272" s="29">
        <v>19</v>
      </c>
      <c r="B272" t="s">
        <v>28</v>
      </c>
      <c r="C272" s="1" t="s">
        <v>29</v>
      </c>
      <c r="D272" t="s">
        <v>1343</v>
      </c>
      <c r="E272" t="s">
        <v>569</v>
      </c>
      <c r="F272" s="31">
        <v>270.49</v>
      </c>
      <c r="G272" s="17">
        <v>360</v>
      </c>
      <c r="H272" s="31">
        <v>2920.72</v>
      </c>
      <c r="I272" s="31">
        <f t="shared" si="17"/>
        <v>94455.680000000008</v>
      </c>
      <c r="J272" s="16">
        <f t="shared" si="18"/>
        <v>86584.373333333337</v>
      </c>
      <c r="K272">
        <v>12</v>
      </c>
      <c r="L272" s="16">
        <f t="shared" si="19"/>
        <v>10390.1248</v>
      </c>
      <c r="M272">
        <v>0</v>
      </c>
      <c r="N272" s="16">
        <f t="shared" si="20"/>
        <v>0</v>
      </c>
    </row>
    <row r="273" spans="1:14" x14ac:dyDescent="0.25">
      <c r="A273" s="29">
        <v>19</v>
      </c>
      <c r="B273" t="s">
        <v>28</v>
      </c>
      <c r="C273" s="1" t="s">
        <v>29</v>
      </c>
      <c r="D273" t="s">
        <v>1263</v>
      </c>
      <c r="E273" t="s">
        <v>569</v>
      </c>
      <c r="F273" s="31">
        <v>257.52</v>
      </c>
      <c r="G273" s="17">
        <v>720</v>
      </c>
      <c r="H273" s="31">
        <v>5562.16</v>
      </c>
      <c r="I273" s="31">
        <f t="shared" si="17"/>
        <v>179852.24</v>
      </c>
      <c r="J273" s="16">
        <f t="shared" si="18"/>
        <v>164864.55333333332</v>
      </c>
      <c r="K273">
        <v>12</v>
      </c>
      <c r="L273" s="16">
        <f t="shared" si="19"/>
        <v>19783.746399999996</v>
      </c>
      <c r="M273">
        <v>0</v>
      </c>
      <c r="N273" s="16">
        <f t="shared" si="20"/>
        <v>0</v>
      </c>
    </row>
    <row r="274" spans="1:14" x14ac:dyDescent="0.25">
      <c r="A274" s="29">
        <v>19</v>
      </c>
      <c r="B274" t="s">
        <v>28</v>
      </c>
      <c r="C274" s="1" t="s">
        <v>29</v>
      </c>
      <c r="D274" t="s">
        <v>1302</v>
      </c>
      <c r="E274" t="s">
        <v>569</v>
      </c>
      <c r="F274" s="31">
        <v>257.52</v>
      </c>
      <c r="G274" s="17">
        <v>360</v>
      </c>
      <c r="H274" s="31">
        <v>2781.08</v>
      </c>
      <c r="I274" s="31">
        <f t="shared" si="17"/>
        <v>89926.12</v>
      </c>
      <c r="J274" s="16">
        <f t="shared" si="18"/>
        <v>82432.276666666658</v>
      </c>
      <c r="K274">
        <v>12</v>
      </c>
      <c r="L274" s="16">
        <f t="shared" si="19"/>
        <v>9891.8731999999982</v>
      </c>
      <c r="M274">
        <v>0</v>
      </c>
      <c r="N274" s="16">
        <f t="shared" si="20"/>
        <v>0</v>
      </c>
    </row>
    <row r="275" spans="1:14" x14ac:dyDescent="0.25">
      <c r="A275" s="29">
        <v>19</v>
      </c>
      <c r="B275" t="s">
        <v>28</v>
      </c>
      <c r="C275" s="1" t="s">
        <v>29</v>
      </c>
      <c r="D275" t="s">
        <v>1344</v>
      </c>
      <c r="E275" t="s">
        <v>569</v>
      </c>
      <c r="F275" s="31">
        <v>257.52</v>
      </c>
      <c r="G275" s="17">
        <v>720</v>
      </c>
      <c r="H275" s="31">
        <v>5562.16</v>
      </c>
      <c r="I275" s="31">
        <f t="shared" si="17"/>
        <v>179852.24</v>
      </c>
      <c r="J275" s="16">
        <f t="shared" si="18"/>
        <v>164864.55333333332</v>
      </c>
      <c r="K275">
        <v>12</v>
      </c>
      <c r="L275" s="16">
        <f t="shared" si="19"/>
        <v>19783.746399999996</v>
      </c>
      <c r="M275">
        <v>0</v>
      </c>
      <c r="N275" s="16">
        <f t="shared" si="20"/>
        <v>0</v>
      </c>
    </row>
    <row r="276" spans="1:14" x14ac:dyDescent="0.25">
      <c r="A276" s="29">
        <v>19</v>
      </c>
      <c r="B276" t="s">
        <v>28</v>
      </c>
      <c r="C276" s="1" t="s">
        <v>29</v>
      </c>
      <c r="D276" t="s">
        <v>1264</v>
      </c>
      <c r="E276" t="s">
        <v>569</v>
      </c>
      <c r="F276" s="31">
        <v>3117.87</v>
      </c>
      <c r="G276" s="17">
        <v>12</v>
      </c>
      <c r="H276" s="31">
        <v>1121.6199999999999</v>
      </c>
      <c r="I276" s="31">
        <f t="shared" si="17"/>
        <v>36292.82</v>
      </c>
      <c r="J276" s="16">
        <f t="shared" si="18"/>
        <v>33268.418333333335</v>
      </c>
      <c r="K276">
        <v>12</v>
      </c>
      <c r="L276" s="16">
        <f t="shared" si="19"/>
        <v>3992.2102</v>
      </c>
      <c r="M276">
        <v>0</v>
      </c>
      <c r="N276" s="16">
        <f t="shared" si="20"/>
        <v>0</v>
      </c>
    </row>
    <row r="277" spans="1:14" x14ac:dyDescent="0.25">
      <c r="A277" s="29">
        <v>19</v>
      </c>
      <c r="B277" t="s">
        <v>28</v>
      </c>
      <c r="C277" s="1" t="s">
        <v>29</v>
      </c>
      <c r="D277" t="s">
        <v>1221</v>
      </c>
      <c r="E277" t="s">
        <v>569</v>
      </c>
      <c r="F277" s="31">
        <v>7411.11</v>
      </c>
      <c r="G277" s="17">
        <v>12</v>
      </c>
      <c r="H277" s="31">
        <v>2667.57</v>
      </c>
      <c r="I277" s="31">
        <f t="shared" si="17"/>
        <v>86265.749999999985</v>
      </c>
      <c r="J277" s="16">
        <f t="shared" si="18"/>
        <v>79076.937499999985</v>
      </c>
      <c r="K277">
        <v>12</v>
      </c>
      <c r="L277" s="16">
        <f t="shared" si="19"/>
        <v>9489.2324999999983</v>
      </c>
      <c r="M277">
        <v>0</v>
      </c>
      <c r="N277" s="16">
        <f t="shared" si="20"/>
        <v>0</v>
      </c>
    </row>
    <row r="278" spans="1:14" x14ac:dyDescent="0.25">
      <c r="A278" s="29">
        <v>19</v>
      </c>
      <c r="B278" t="s">
        <v>28</v>
      </c>
      <c r="C278" s="1" t="s">
        <v>29</v>
      </c>
      <c r="D278" t="s">
        <v>1247</v>
      </c>
      <c r="E278" t="s">
        <v>569</v>
      </c>
      <c r="F278" s="31">
        <v>974.43</v>
      </c>
      <c r="G278" s="17">
        <v>250</v>
      </c>
      <c r="H278" s="31">
        <v>7308.11</v>
      </c>
      <c r="I278" s="31">
        <f t="shared" si="17"/>
        <v>236299.39</v>
      </c>
      <c r="J278" s="16">
        <f t="shared" si="18"/>
        <v>216607.77416666667</v>
      </c>
      <c r="K278">
        <v>12</v>
      </c>
      <c r="L278" s="16">
        <f t="shared" si="19"/>
        <v>25992.9329</v>
      </c>
      <c r="M278">
        <v>0</v>
      </c>
      <c r="N278" s="16">
        <f t="shared" si="20"/>
        <v>0</v>
      </c>
    </row>
    <row r="279" spans="1:14" x14ac:dyDescent="0.25">
      <c r="A279" s="29">
        <v>19</v>
      </c>
      <c r="B279" t="s">
        <v>28</v>
      </c>
      <c r="C279" s="1" t="s">
        <v>29</v>
      </c>
      <c r="D279" t="s">
        <v>1304</v>
      </c>
      <c r="E279" t="s">
        <v>569</v>
      </c>
      <c r="F279" s="31">
        <v>270.49</v>
      </c>
      <c r="G279" s="17">
        <v>360</v>
      </c>
      <c r="H279" s="31">
        <v>2920.72</v>
      </c>
      <c r="I279" s="31">
        <f t="shared" si="17"/>
        <v>94455.680000000008</v>
      </c>
      <c r="J279" s="16">
        <f t="shared" si="18"/>
        <v>86584.373333333337</v>
      </c>
      <c r="K279">
        <v>12</v>
      </c>
      <c r="L279" s="16">
        <f t="shared" si="19"/>
        <v>10390.1248</v>
      </c>
      <c r="M279">
        <v>0</v>
      </c>
      <c r="N279" s="16">
        <f t="shared" si="20"/>
        <v>0</v>
      </c>
    </row>
    <row r="280" spans="1:14" x14ac:dyDescent="0.25">
      <c r="A280" s="29">
        <v>19</v>
      </c>
      <c r="B280" t="s">
        <v>28</v>
      </c>
      <c r="C280" s="1" t="s">
        <v>29</v>
      </c>
      <c r="D280" t="s">
        <v>1248</v>
      </c>
      <c r="E280" t="s">
        <v>569</v>
      </c>
      <c r="F280" s="31">
        <v>974.43</v>
      </c>
      <c r="G280" s="17">
        <v>240</v>
      </c>
      <c r="H280" s="31">
        <v>7016.22</v>
      </c>
      <c r="I280" s="31">
        <f t="shared" si="17"/>
        <v>226846.97999999998</v>
      </c>
      <c r="J280" s="16">
        <f t="shared" si="18"/>
        <v>207943.06499999997</v>
      </c>
      <c r="K280">
        <v>12</v>
      </c>
      <c r="L280" s="16">
        <f t="shared" si="19"/>
        <v>24953.167799999999</v>
      </c>
      <c r="M280">
        <v>0</v>
      </c>
      <c r="N280" s="16">
        <f t="shared" si="20"/>
        <v>0</v>
      </c>
    </row>
    <row r="281" spans="1:14" x14ac:dyDescent="0.25">
      <c r="A281" s="29">
        <v>19</v>
      </c>
      <c r="B281" t="s">
        <v>28</v>
      </c>
      <c r="C281" s="1" t="s">
        <v>29</v>
      </c>
      <c r="D281" t="s">
        <v>1345</v>
      </c>
      <c r="E281" t="s">
        <v>569</v>
      </c>
      <c r="F281" s="31">
        <v>1981.62</v>
      </c>
      <c r="G281" s="17">
        <v>120</v>
      </c>
      <c r="H281" s="31">
        <v>7134.23</v>
      </c>
      <c r="I281" s="31">
        <f t="shared" si="17"/>
        <v>230660.16999999998</v>
      </c>
      <c r="J281" s="16">
        <f t="shared" si="18"/>
        <v>211438.48916666664</v>
      </c>
      <c r="K281">
        <v>12</v>
      </c>
      <c r="L281" s="16">
        <f t="shared" si="19"/>
        <v>25372.618699999995</v>
      </c>
      <c r="M281">
        <v>0</v>
      </c>
      <c r="N281" s="16">
        <f t="shared" si="20"/>
        <v>0</v>
      </c>
    </row>
    <row r="282" spans="1:14" x14ac:dyDescent="0.25">
      <c r="A282" s="29">
        <v>19</v>
      </c>
      <c r="B282" t="s">
        <v>28</v>
      </c>
      <c r="C282" s="1" t="s">
        <v>29</v>
      </c>
      <c r="D282" t="s">
        <v>1346</v>
      </c>
      <c r="E282" t="s">
        <v>569</v>
      </c>
      <c r="F282" s="31">
        <v>2140.54</v>
      </c>
      <c r="G282" s="17">
        <v>120</v>
      </c>
      <c r="H282" s="31">
        <v>7706.31</v>
      </c>
      <c r="I282" s="31">
        <f t="shared" si="17"/>
        <v>249158.49</v>
      </c>
      <c r="J282" s="16">
        <f t="shared" si="18"/>
        <v>228395.28249999997</v>
      </c>
      <c r="K282">
        <v>12</v>
      </c>
      <c r="L282" s="16">
        <f t="shared" si="19"/>
        <v>27407.433899999996</v>
      </c>
      <c r="M282">
        <v>0</v>
      </c>
      <c r="N282" s="16">
        <f t="shared" si="20"/>
        <v>0</v>
      </c>
    </row>
    <row r="283" spans="1:14" x14ac:dyDescent="0.25">
      <c r="A283" s="29">
        <v>19</v>
      </c>
      <c r="B283" t="s">
        <v>28</v>
      </c>
      <c r="C283" s="1" t="s">
        <v>29</v>
      </c>
      <c r="D283" t="s">
        <v>1249</v>
      </c>
      <c r="E283" t="s">
        <v>569</v>
      </c>
      <c r="F283" s="31">
        <v>1981.62</v>
      </c>
      <c r="G283" s="17">
        <v>120</v>
      </c>
      <c r="H283" s="31">
        <v>7134.23</v>
      </c>
      <c r="I283" s="31">
        <f t="shared" si="17"/>
        <v>230660.16999999998</v>
      </c>
      <c r="J283" s="16">
        <f t="shared" si="18"/>
        <v>211438.48916666664</v>
      </c>
      <c r="K283">
        <v>12</v>
      </c>
      <c r="L283" s="16">
        <f t="shared" si="19"/>
        <v>25372.618699999995</v>
      </c>
      <c r="M283">
        <v>0</v>
      </c>
      <c r="N283" s="16">
        <f t="shared" si="20"/>
        <v>0</v>
      </c>
    </row>
    <row r="284" spans="1:14" x14ac:dyDescent="0.25">
      <c r="A284" s="29">
        <v>19</v>
      </c>
      <c r="B284" t="s">
        <v>28</v>
      </c>
      <c r="C284" s="1" t="s">
        <v>29</v>
      </c>
      <c r="D284" t="s">
        <v>1347</v>
      </c>
      <c r="E284" t="s">
        <v>569</v>
      </c>
      <c r="F284" s="31">
        <v>2140.54</v>
      </c>
      <c r="G284" s="17">
        <v>120</v>
      </c>
      <c r="H284" s="31">
        <v>7706.31</v>
      </c>
      <c r="I284" s="31">
        <f t="shared" si="17"/>
        <v>249158.49</v>
      </c>
      <c r="J284" s="16">
        <f t="shared" si="18"/>
        <v>228395.28249999997</v>
      </c>
      <c r="K284">
        <v>12</v>
      </c>
      <c r="L284" s="16">
        <f t="shared" si="19"/>
        <v>27407.433899999996</v>
      </c>
      <c r="M284">
        <v>0</v>
      </c>
      <c r="N284" s="16">
        <f t="shared" si="20"/>
        <v>0</v>
      </c>
    </row>
    <row r="285" spans="1:14" x14ac:dyDescent="0.25">
      <c r="A285" s="29">
        <v>19</v>
      </c>
      <c r="B285" t="s">
        <v>28</v>
      </c>
      <c r="C285" s="1" t="s">
        <v>29</v>
      </c>
      <c r="D285" t="s">
        <v>1348</v>
      </c>
      <c r="E285" t="s">
        <v>569</v>
      </c>
      <c r="F285" s="31">
        <v>956.17</v>
      </c>
      <c r="G285" s="17">
        <v>250</v>
      </c>
      <c r="H285" s="31">
        <v>7171.17</v>
      </c>
      <c r="I285" s="31">
        <f t="shared" si="17"/>
        <v>231871.33</v>
      </c>
      <c r="J285" s="16">
        <f t="shared" si="18"/>
        <v>212548.71916666665</v>
      </c>
      <c r="K285">
        <v>12</v>
      </c>
      <c r="L285" s="16">
        <f t="shared" si="19"/>
        <v>25505.846299999997</v>
      </c>
      <c r="M285">
        <v>0</v>
      </c>
      <c r="N285" s="16">
        <f t="shared" si="20"/>
        <v>0</v>
      </c>
    </row>
    <row r="286" spans="1:14" x14ac:dyDescent="0.25">
      <c r="A286" s="29">
        <v>19</v>
      </c>
      <c r="B286" t="s">
        <v>28</v>
      </c>
      <c r="C286" s="1" t="s">
        <v>29</v>
      </c>
      <c r="D286" t="s">
        <v>1250</v>
      </c>
      <c r="E286" t="s">
        <v>569</v>
      </c>
      <c r="F286" s="31">
        <v>956.17</v>
      </c>
      <c r="G286" s="17">
        <v>750</v>
      </c>
      <c r="H286" s="31">
        <v>21514.41</v>
      </c>
      <c r="I286" s="31">
        <f t="shared" si="17"/>
        <v>695613.09</v>
      </c>
      <c r="J286" s="16">
        <f t="shared" si="18"/>
        <v>637645.3324999999</v>
      </c>
      <c r="K286">
        <v>12</v>
      </c>
      <c r="L286" s="16">
        <f t="shared" si="19"/>
        <v>76517.439899999983</v>
      </c>
      <c r="M286">
        <v>0</v>
      </c>
      <c r="N286" s="16">
        <f t="shared" si="20"/>
        <v>0</v>
      </c>
    </row>
    <row r="287" spans="1:14" x14ac:dyDescent="0.25">
      <c r="A287" s="29">
        <v>19</v>
      </c>
      <c r="B287" t="s">
        <v>28</v>
      </c>
      <c r="C287" s="1" t="s">
        <v>29</v>
      </c>
      <c r="D287" t="s">
        <v>1251</v>
      </c>
      <c r="E287" t="s">
        <v>569</v>
      </c>
      <c r="F287" s="31">
        <v>956.17</v>
      </c>
      <c r="G287" s="17">
        <v>500</v>
      </c>
      <c r="H287" s="31">
        <v>14343.24</v>
      </c>
      <c r="I287" s="31">
        <f t="shared" si="17"/>
        <v>463741.76</v>
      </c>
      <c r="J287" s="16">
        <f t="shared" si="18"/>
        <v>425096.61333333334</v>
      </c>
      <c r="K287">
        <v>12</v>
      </c>
      <c r="L287" s="16">
        <f t="shared" si="19"/>
        <v>51011.5936</v>
      </c>
      <c r="M287">
        <v>0</v>
      </c>
      <c r="N287" s="16">
        <f t="shared" si="20"/>
        <v>0</v>
      </c>
    </row>
    <row r="288" spans="1:14" x14ac:dyDescent="0.25">
      <c r="A288" s="29">
        <v>19</v>
      </c>
      <c r="B288" t="s">
        <v>28</v>
      </c>
      <c r="C288" s="1" t="s">
        <v>29</v>
      </c>
      <c r="D288" t="s">
        <v>1349</v>
      </c>
      <c r="E288" t="s">
        <v>569</v>
      </c>
      <c r="F288" s="31">
        <v>956.17</v>
      </c>
      <c r="G288" s="17">
        <v>500</v>
      </c>
      <c r="H288" s="31">
        <v>14343.24</v>
      </c>
      <c r="I288" s="31">
        <f t="shared" si="17"/>
        <v>463741.76</v>
      </c>
      <c r="J288" s="16">
        <f t="shared" si="18"/>
        <v>425096.61333333334</v>
      </c>
      <c r="K288">
        <v>12</v>
      </c>
      <c r="L288" s="16">
        <f t="shared" si="19"/>
        <v>51011.5936</v>
      </c>
      <c r="M288">
        <v>0</v>
      </c>
      <c r="N288" s="16">
        <f t="shared" si="20"/>
        <v>0</v>
      </c>
    </row>
    <row r="289" spans="1:14" x14ac:dyDescent="0.25">
      <c r="A289" s="29">
        <v>19</v>
      </c>
      <c r="B289" t="s">
        <v>28</v>
      </c>
      <c r="C289" s="1" t="s">
        <v>29</v>
      </c>
      <c r="D289" t="s">
        <v>1252</v>
      </c>
      <c r="E289" t="s">
        <v>569</v>
      </c>
      <c r="F289" s="31">
        <v>956.17</v>
      </c>
      <c r="G289" s="17">
        <v>500</v>
      </c>
      <c r="H289" s="31">
        <v>14343.24</v>
      </c>
      <c r="I289" s="31">
        <f t="shared" si="17"/>
        <v>463741.76</v>
      </c>
      <c r="J289" s="16">
        <f t="shared" si="18"/>
        <v>425096.61333333334</v>
      </c>
      <c r="K289">
        <v>12</v>
      </c>
      <c r="L289" s="16">
        <f t="shared" si="19"/>
        <v>51011.5936</v>
      </c>
      <c r="M289">
        <v>0</v>
      </c>
      <c r="N289" s="16">
        <f t="shared" si="20"/>
        <v>0</v>
      </c>
    </row>
    <row r="290" spans="1:14" x14ac:dyDescent="0.25">
      <c r="A290" s="29">
        <v>19</v>
      </c>
      <c r="B290" t="s">
        <v>28</v>
      </c>
      <c r="C290" s="1" t="s">
        <v>29</v>
      </c>
      <c r="D290" t="s">
        <v>1305</v>
      </c>
      <c r="E290" t="s">
        <v>569</v>
      </c>
      <c r="F290" s="31">
        <v>956.17</v>
      </c>
      <c r="G290" s="17">
        <v>500</v>
      </c>
      <c r="H290" s="31">
        <v>14343.24</v>
      </c>
      <c r="I290" s="31">
        <f t="shared" si="17"/>
        <v>463741.76</v>
      </c>
      <c r="J290" s="16">
        <f t="shared" si="18"/>
        <v>425096.61333333334</v>
      </c>
      <c r="K290">
        <v>12</v>
      </c>
      <c r="L290" s="16">
        <f t="shared" si="19"/>
        <v>51011.5936</v>
      </c>
      <c r="M290">
        <v>0</v>
      </c>
      <c r="N290" s="16">
        <f t="shared" si="20"/>
        <v>0</v>
      </c>
    </row>
    <row r="291" spans="1:14" x14ac:dyDescent="0.25">
      <c r="A291" s="29">
        <v>19</v>
      </c>
      <c r="B291" t="s">
        <v>28</v>
      </c>
      <c r="C291" s="1" t="s">
        <v>29</v>
      </c>
      <c r="D291" t="s">
        <v>1350</v>
      </c>
      <c r="E291" t="s">
        <v>569</v>
      </c>
      <c r="F291" s="31">
        <v>956.14</v>
      </c>
      <c r="G291" s="17">
        <v>500</v>
      </c>
      <c r="H291" s="31">
        <v>14342.34</v>
      </c>
      <c r="I291" s="31">
        <f t="shared" si="17"/>
        <v>463727.66</v>
      </c>
      <c r="J291" s="16">
        <f t="shared" si="18"/>
        <v>425083.6883333333</v>
      </c>
      <c r="K291">
        <v>12</v>
      </c>
      <c r="L291" s="16">
        <f t="shared" si="19"/>
        <v>51010.042600000001</v>
      </c>
      <c r="M291">
        <v>0</v>
      </c>
      <c r="N291" s="16">
        <f t="shared" si="20"/>
        <v>0</v>
      </c>
    </row>
    <row r="292" spans="1:14" x14ac:dyDescent="0.25">
      <c r="A292" s="29">
        <v>19</v>
      </c>
      <c r="B292" t="s">
        <v>28</v>
      </c>
      <c r="C292" s="1" t="s">
        <v>29</v>
      </c>
      <c r="D292" t="s">
        <v>1351</v>
      </c>
      <c r="E292" t="s">
        <v>569</v>
      </c>
      <c r="F292" s="31">
        <v>955.86</v>
      </c>
      <c r="G292" s="17">
        <v>500</v>
      </c>
      <c r="H292" s="31">
        <v>14337.84</v>
      </c>
      <c r="I292" s="31">
        <f t="shared" si="17"/>
        <v>463592.16</v>
      </c>
      <c r="J292" s="16">
        <f t="shared" si="18"/>
        <v>424959.48</v>
      </c>
      <c r="K292">
        <v>12</v>
      </c>
      <c r="L292" s="16">
        <f t="shared" si="19"/>
        <v>50995.137599999995</v>
      </c>
      <c r="M292">
        <v>0</v>
      </c>
      <c r="N292" s="16">
        <f t="shared" si="20"/>
        <v>0</v>
      </c>
    </row>
    <row r="293" spans="1:14" x14ac:dyDescent="0.25">
      <c r="A293" s="29">
        <v>19</v>
      </c>
      <c r="B293" t="s">
        <v>28</v>
      </c>
      <c r="C293" s="1" t="s">
        <v>29</v>
      </c>
      <c r="D293" t="s">
        <v>1352</v>
      </c>
      <c r="E293" t="s">
        <v>569</v>
      </c>
      <c r="F293" s="31">
        <v>270.49</v>
      </c>
      <c r="G293" s="17">
        <v>360</v>
      </c>
      <c r="H293" s="31">
        <v>2920.72</v>
      </c>
      <c r="I293" s="31">
        <f t="shared" si="17"/>
        <v>94455.680000000008</v>
      </c>
      <c r="J293" s="16">
        <f t="shared" si="18"/>
        <v>86584.373333333337</v>
      </c>
      <c r="K293">
        <v>12</v>
      </c>
      <c r="L293" s="16">
        <f t="shared" si="19"/>
        <v>10390.1248</v>
      </c>
      <c r="M293">
        <v>0</v>
      </c>
      <c r="N293" s="16">
        <f t="shared" si="20"/>
        <v>0</v>
      </c>
    </row>
    <row r="294" spans="1:14" x14ac:dyDescent="0.25">
      <c r="A294" s="29">
        <v>19</v>
      </c>
      <c r="B294" t="s">
        <v>28</v>
      </c>
      <c r="C294" s="1" t="s">
        <v>29</v>
      </c>
      <c r="D294" t="s">
        <v>1353</v>
      </c>
      <c r="E294" t="s">
        <v>569</v>
      </c>
      <c r="F294" s="31">
        <v>270.49</v>
      </c>
      <c r="G294" s="17">
        <v>360</v>
      </c>
      <c r="H294" s="31">
        <v>2920.72</v>
      </c>
      <c r="I294" s="31">
        <f t="shared" si="17"/>
        <v>94455.680000000008</v>
      </c>
      <c r="J294" s="16">
        <f t="shared" si="18"/>
        <v>86584.373333333337</v>
      </c>
      <c r="K294">
        <v>12</v>
      </c>
      <c r="L294" s="16">
        <f t="shared" si="19"/>
        <v>10390.1248</v>
      </c>
      <c r="M294">
        <v>0</v>
      </c>
      <c r="N294" s="16">
        <f t="shared" si="20"/>
        <v>0</v>
      </c>
    </row>
    <row r="295" spans="1:14" x14ac:dyDescent="0.25">
      <c r="A295" s="29">
        <v>19</v>
      </c>
      <c r="B295" t="s">
        <v>28</v>
      </c>
      <c r="C295" s="1" t="s">
        <v>29</v>
      </c>
      <c r="D295" t="s">
        <v>1354</v>
      </c>
      <c r="E295" t="s">
        <v>569</v>
      </c>
      <c r="F295" s="31">
        <v>270.49</v>
      </c>
      <c r="G295" s="17">
        <v>360</v>
      </c>
      <c r="H295" s="31">
        <v>2920.72</v>
      </c>
      <c r="I295" s="31">
        <f t="shared" si="17"/>
        <v>94455.680000000008</v>
      </c>
      <c r="J295" s="16">
        <f t="shared" si="18"/>
        <v>86584.373333333337</v>
      </c>
      <c r="K295">
        <v>12</v>
      </c>
      <c r="L295" s="16">
        <f t="shared" si="19"/>
        <v>10390.1248</v>
      </c>
      <c r="M295">
        <v>0</v>
      </c>
      <c r="N295" s="16">
        <f t="shared" si="20"/>
        <v>0</v>
      </c>
    </row>
    <row r="296" spans="1:14" x14ac:dyDescent="0.25">
      <c r="A296" s="29">
        <v>19</v>
      </c>
      <c r="B296" t="s">
        <v>28</v>
      </c>
      <c r="C296" s="1" t="s">
        <v>29</v>
      </c>
      <c r="D296" t="s">
        <v>1355</v>
      </c>
      <c r="E296" t="s">
        <v>569</v>
      </c>
      <c r="F296" s="31">
        <v>270.49</v>
      </c>
      <c r="G296" s="17">
        <v>360</v>
      </c>
      <c r="H296" s="31">
        <v>2920.72</v>
      </c>
      <c r="I296" s="31">
        <f t="shared" si="17"/>
        <v>94455.680000000008</v>
      </c>
      <c r="J296" s="16">
        <f t="shared" si="18"/>
        <v>86584.373333333337</v>
      </c>
      <c r="K296">
        <v>12</v>
      </c>
      <c r="L296" s="16">
        <f t="shared" si="19"/>
        <v>10390.1248</v>
      </c>
      <c r="M296">
        <v>0</v>
      </c>
      <c r="N296" s="16">
        <f t="shared" si="20"/>
        <v>0</v>
      </c>
    </row>
    <row r="297" spans="1:14" x14ac:dyDescent="0.25">
      <c r="A297" s="29">
        <v>19</v>
      </c>
      <c r="B297" t="s">
        <v>28</v>
      </c>
      <c r="C297" s="1" t="s">
        <v>29</v>
      </c>
      <c r="D297" t="s">
        <v>1253</v>
      </c>
      <c r="E297" t="s">
        <v>569</v>
      </c>
      <c r="F297" s="31">
        <v>270.49</v>
      </c>
      <c r="G297" s="17">
        <v>360</v>
      </c>
      <c r="H297" s="31">
        <v>2920.72</v>
      </c>
      <c r="I297" s="31">
        <f t="shared" si="17"/>
        <v>94455.680000000008</v>
      </c>
      <c r="J297" s="16">
        <f t="shared" si="18"/>
        <v>86584.373333333337</v>
      </c>
      <c r="K297">
        <v>12</v>
      </c>
      <c r="L297" s="16">
        <f t="shared" si="19"/>
        <v>10390.1248</v>
      </c>
      <c r="M297">
        <v>0</v>
      </c>
      <c r="N297" s="16">
        <f t="shared" si="20"/>
        <v>0</v>
      </c>
    </row>
    <row r="298" spans="1:14" x14ac:dyDescent="0.25">
      <c r="A298" s="29">
        <v>19</v>
      </c>
      <c r="B298" t="s">
        <v>28</v>
      </c>
      <c r="C298" s="1" t="s">
        <v>29</v>
      </c>
      <c r="D298" t="s">
        <v>1254</v>
      </c>
      <c r="E298" t="s">
        <v>569</v>
      </c>
      <c r="F298" s="31">
        <v>270.49</v>
      </c>
      <c r="G298" s="17">
        <v>360</v>
      </c>
      <c r="H298" s="31">
        <v>2920.72</v>
      </c>
      <c r="I298" s="31">
        <f t="shared" si="17"/>
        <v>94455.680000000008</v>
      </c>
      <c r="J298" s="16">
        <f t="shared" si="18"/>
        <v>86584.373333333337</v>
      </c>
      <c r="K298">
        <v>12</v>
      </c>
      <c r="L298" s="16">
        <f t="shared" si="19"/>
        <v>10390.1248</v>
      </c>
      <c r="M298">
        <v>0</v>
      </c>
      <c r="N298" s="16">
        <f t="shared" si="20"/>
        <v>0</v>
      </c>
    </row>
    <row r="299" spans="1:14" x14ac:dyDescent="0.25">
      <c r="A299" s="29">
        <v>19</v>
      </c>
      <c r="B299" t="s">
        <v>28</v>
      </c>
      <c r="C299" s="1" t="s">
        <v>29</v>
      </c>
      <c r="D299" t="s">
        <v>1356</v>
      </c>
      <c r="E299" t="s">
        <v>569</v>
      </c>
      <c r="F299" s="31">
        <v>270.49</v>
      </c>
      <c r="G299" s="17">
        <v>720</v>
      </c>
      <c r="H299" s="31">
        <v>5843.24</v>
      </c>
      <c r="I299" s="31">
        <f t="shared" si="17"/>
        <v>188909.56000000003</v>
      </c>
      <c r="J299" s="16">
        <f t="shared" si="18"/>
        <v>173167.09666666668</v>
      </c>
      <c r="K299">
        <v>12</v>
      </c>
      <c r="L299" s="16">
        <f t="shared" si="19"/>
        <v>20780.051600000003</v>
      </c>
      <c r="M299">
        <v>0</v>
      </c>
      <c r="N299" s="16">
        <f t="shared" si="20"/>
        <v>0</v>
      </c>
    </row>
    <row r="300" spans="1:14" x14ac:dyDescent="0.25">
      <c r="A300" s="29">
        <v>19</v>
      </c>
      <c r="B300" t="s">
        <v>28</v>
      </c>
      <c r="C300" s="1" t="s">
        <v>29</v>
      </c>
      <c r="D300" t="s">
        <v>1357</v>
      </c>
      <c r="E300" t="s">
        <v>569</v>
      </c>
      <c r="F300" s="31">
        <v>270.49</v>
      </c>
      <c r="G300" s="17">
        <v>120</v>
      </c>
      <c r="H300" s="31">
        <v>973.87</v>
      </c>
      <c r="I300" s="31">
        <f t="shared" si="17"/>
        <v>31484.930000000004</v>
      </c>
      <c r="J300" s="16">
        <f t="shared" si="18"/>
        <v>28861.185833333337</v>
      </c>
      <c r="K300">
        <v>12</v>
      </c>
      <c r="L300" s="16">
        <f t="shared" si="19"/>
        <v>3463.3423000000003</v>
      </c>
      <c r="M300">
        <v>0</v>
      </c>
      <c r="N300" s="16">
        <f t="shared" si="20"/>
        <v>0</v>
      </c>
    </row>
    <row r="301" spans="1:14" x14ac:dyDescent="0.25">
      <c r="A301" s="29">
        <v>19</v>
      </c>
      <c r="B301" t="s">
        <v>28</v>
      </c>
      <c r="C301" s="1" t="s">
        <v>29</v>
      </c>
      <c r="D301" t="s">
        <v>1358</v>
      </c>
      <c r="E301" t="s">
        <v>569</v>
      </c>
      <c r="F301" s="31">
        <v>270.49</v>
      </c>
      <c r="G301" s="17">
        <v>360</v>
      </c>
      <c r="H301" s="31">
        <v>2920.72</v>
      </c>
      <c r="I301" s="31">
        <f t="shared" si="17"/>
        <v>94455.680000000008</v>
      </c>
      <c r="J301" s="16">
        <f t="shared" si="18"/>
        <v>86584.373333333337</v>
      </c>
      <c r="K301">
        <v>12</v>
      </c>
      <c r="L301" s="16">
        <f t="shared" si="19"/>
        <v>10390.1248</v>
      </c>
      <c r="M301">
        <v>0</v>
      </c>
      <c r="N301" s="16">
        <f t="shared" si="20"/>
        <v>0</v>
      </c>
    </row>
    <row r="302" spans="1:14" x14ac:dyDescent="0.25">
      <c r="A302" s="29">
        <v>19</v>
      </c>
      <c r="B302" t="s">
        <v>28</v>
      </c>
      <c r="C302" s="1" t="s">
        <v>29</v>
      </c>
      <c r="D302" t="s">
        <v>1359</v>
      </c>
      <c r="E302" t="s">
        <v>569</v>
      </c>
      <c r="F302" s="31">
        <v>270.49</v>
      </c>
      <c r="G302" s="17">
        <v>360</v>
      </c>
      <c r="H302" s="31">
        <v>2920.72</v>
      </c>
      <c r="I302" s="31">
        <f t="shared" si="17"/>
        <v>94455.680000000008</v>
      </c>
      <c r="J302" s="16">
        <f t="shared" si="18"/>
        <v>86584.373333333337</v>
      </c>
      <c r="K302">
        <v>12</v>
      </c>
      <c r="L302" s="16">
        <f t="shared" si="19"/>
        <v>10390.1248</v>
      </c>
      <c r="M302">
        <v>0</v>
      </c>
      <c r="N302" s="16">
        <f t="shared" si="20"/>
        <v>0</v>
      </c>
    </row>
    <row r="303" spans="1:14" x14ac:dyDescent="0.25">
      <c r="A303" s="29">
        <v>19</v>
      </c>
      <c r="B303" t="s">
        <v>28</v>
      </c>
      <c r="C303" s="1" t="s">
        <v>29</v>
      </c>
      <c r="D303" t="s">
        <v>1360</v>
      </c>
      <c r="E303" t="s">
        <v>569</v>
      </c>
      <c r="F303" s="31">
        <v>270.49</v>
      </c>
      <c r="G303" s="17">
        <v>720</v>
      </c>
      <c r="H303" s="31">
        <v>5843.24</v>
      </c>
      <c r="I303" s="31">
        <f t="shared" si="17"/>
        <v>188909.56000000003</v>
      </c>
      <c r="J303" s="16">
        <f t="shared" si="18"/>
        <v>173167.09666666668</v>
      </c>
      <c r="K303">
        <v>12</v>
      </c>
      <c r="L303" s="16">
        <f t="shared" si="19"/>
        <v>20780.051600000003</v>
      </c>
      <c r="M303">
        <v>0</v>
      </c>
      <c r="N303" s="16">
        <f t="shared" si="20"/>
        <v>0</v>
      </c>
    </row>
    <row r="304" spans="1:14" x14ac:dyDescent="0.25">
      <c r="A304" s="29">
        <v>19</v>
      </c>
      <c r="B304" t="s">
        <v>28</v>
      </c>
      <c r="C304" s="1" t="s">
        <v>29</v>
      </c>
      <c r="D304" t="s">
        <v>1361</v>
      </c>
      <c r="E304" t="s">
        <v>569</v>
      </c>
      <c r="F304" s="31">
        <v>270.49</v>
      </c>
      <c r="G304" s="17">
        <v>480</v>
      </c>
      <c r="H304" s="31">
        <v>3895.5</v>
      </c>
      <c r="I304" s="31">
        <f t="shared" si="17"/>
        <v>125939.70000000001</v>
      </c>
      <c r="J304" s="16">
        <f t="shared" si="18"/>
        <v>115444.72500000001</v>
      </c>
      <c r="K304">
        <v>12</v>
      </c>
      <c r="L304" s="16">
        <f t="shared" si="19"/>
        <v>13853.367000000002</v>
      </c>
      <c r="M304">
        <v>0</v>
      </c>
      <c r="N304" s="16">
        <f t="shared" si="20"/>
        <v>0</v>
      </c>
    </row>
    <row r="305" spans="1:14" x14ac:dyDescent="0.25">
      <c r="A305" s="29">
        <v>19</v>
      </c>
      <c r="B305" t="s">
        <v>28</v>
      </c>
      <c r="C305" s="1" t="s">
        <v>29</v>
      </c>
      <c r="D305" t="s">
        <v>1306</v>
      </c>
      <c r="E305" t="s">
        <v>569</v>
      </c>
      <c r="F305" s="31">
        <v>270.49</v>
      </c>
      <c r="G305" s="17">
        <v>360</v>
      </c>
      <c r="H305" s="31">
        <v>2920.72</v>
      </c>
      <c r="I305" s="31">
        <f t="shared" si="17"/>
        <v>94455.680000000008</v>
      </c>
      <c r="J305" s="16">
        <f t="shared" si="18"/>
        <v>86584.373333333337</v>
      </c>
      <c r="K305">
        <v>12</v>
      </c>
      <c r="L305" s="16">
        <f t="shared" si="19"/>
        <v>10390.1248</v>
      </c>
      <c r="M305">
        <v>0</v>
      </c>
      <c r="N305" s="16">
        <f t="shared" si="20"/>
        <v>0</v>
      </c>
    </row>
    <row r="306" spans="1:14" x14ac:dyDescent="0.25">
      <c r="A306" s="29">
        <v>19</v>
      </c>
      <c r="B306" t="s">
        <v>28</v>
      </c>
      <c r="C306" s="1" t="s">
        <v>29</v>
      </c>
      <c r="D306" t="s">
        <v>1362</v>
      </c>
      <c r="E306" t="s">
        <v>569</v>
      </c>
      <c r="F306" s="31">
        <v>973.87</v>
      </c>
      <c r="G306" s="17">
        <v>150</v>
      </c>
      <c r="H306" s="31">
        <v>4381.9799999999996</v>
      </c>
      <c r="I306" s="31">
        <f t="shared" si="17"/>
        <v>141698.51999999999</v>
      </c>
      <c r="J306" s="16">
        <f t="shared" si="18"/>
        <v>129890.30999999998</v>
      </c>
      <c r="K306">
        <v>12</v>
      </c>
      <c r="L306" s="16">
        <f t="shared" si="19"/>
        <v>15586.837199999998</v>
      </c>
      <c r="M306">
        <v>0</v>
      </c>
      <c r="N306" s="16">
        <f t="shared" si="20"/>
        <v>0</v>
      </c>
    </row>
    <row r="307" spans="1:14" x14ac:dyDescent="0.25">
      <c r="A307" s="29">
        <v>19</v>
      </c>
      <c r="B307" t="s">
        <v>28</v>
      </c>
      <c r="C307" s="1" t="s">
        <v>29</v>
      </c>
      <c r="D307" t="s">
        <v>1269</v>
      </c>
      <c r="E307" t="s">
        <v>569</v>
      </c>
      <c r="F307" s="31">
        <v>4753.1499999999996</v>
      </c>
      <c r="G307" s="17">
        <v>12</v>
      </c>
      <c r="H307" s="31">
        <v>1710.81</v>
      </c>
      <c r="I307" s="31">
        <f t="shared" si="17"/>
        <v>55326.99</v>
      </c>
      <c r="J307" s="16">
        <f t="shared" si="18"/>
        <v>50716.407499999994</v>
      </c>
      <c r="K307">
        <v>12</v>
      </c>
      <c r="L307" s="16">
        <f t="shared" si="19"/>
        <v>6085.9688999999989</v>
      </c>
      <c r="M307">
        <v>0</v>
      </c>
      <c r="N307" s="16">
        <f t="shared" si="20"/>
        <v>0</v>
      </c>
    </row>
    <row r="308" spans="1:14" x14ac:dyDescent="0.25">
      <c r="A308" s="29">
        <v>19</v>
      </c>
      <c r="B308" t="s">
        <v>28</v>
      </c>
      <c r="C308" s="1" t="s">
        <v>29</v>
      </c>
      <c r="D308" t="s">
        <v>1255</v>
      </c>
      <c r="E308" t="s">
        <v>569</v>
      </c>
      <c r="F308" s="31">
        <v>3752.74</v>
      </c>
      <c r="G308" s="17">
        <v>24</v>
      </c>
      <c r="H308" s="31">
        <v>2701.8</v>
      </c>
      <c r="I308" s="31">
        <f t="shared" si="17"/>
        <v>87363.959999999992</v>
      </c>
      <c r="J308" s="16">
        <f t="shared" si="18"/>
        <v>80083.62999999999</v>
      </c>
      <c r="K308">
        <v>12</v>
      </c>
      <c r="L308" s="16">
        <f t="shared" si="19"/>
        <v>9610.0355999999974</v>
      </c>
      <c r="M308">
        <v>0</v>
      </c>
      <c r="N308" s="16">
        <f t="shared" si="20"/>
        <v>0</v>
      </c>
    </row>
    <row r="309" spans="1:14" x14ac:dyDescent="0.25">
      <c r="A309" s="29">
        <v>19</v>
      </c>
      <c r="B309" t="s">
        <v>28</v>
      </c>
      <c r="C309" s="1" t="s">
        <v>29</v>
      </c>
      <c r="D309" t="s">
        <v>1363</v>
      </c>
      <c r="E309" t="s">
        <v>569</v>
      </c>
      <c r="F309" s="31">
        <v>3752.74</v>
      </c>
      <c r="G309" s="17">
        <v>24</v>
      </c>
      <c r="H309" s="31">
        <v>2701.8</v>
      </c>
      <c r="I309" s="31">
        <f t="shared" si="17"/>
        <v>87363.959999999992</v>
      </c>
      <c r="J309" s="16">
        <f t="shared" si="18"/>
        <v>80083.62999999999</v>
      </c>
      <c r="K309">
        <v>12</v>
      </c>
      <c r="L309" s="16">
        <f t="shared" si="19"/>
        <v>9610.0355999999974</v>
      </c>
      <c r="M309">
        <v>0</v>
      </c>
      <c r="N309" s="16">
        <f t="shared" si="20"/>
        <v>0</v>
      </c>
    </row>
    <row r="310" spans="1:14" x14ac:dyDescent="0.25">
      <c r="A310" s="29">
        <v>19</v>
      </c>
      <c r="B310" t="s">
        <v>28</v>
      </c>
      <c r="C310" s="1" t="s">
        <v>29</v>
      </c>
      <c r="D310" t="s">
        <v>1322</v>
      </c>
      <c r="E310" t="s">
        <v>569</v>
      </c>
      <c r="F310" s="31">
        <v>7250</v>
      </c>
      <c r="G310" s="17">
        <v>6</v>
      </c>
      <c r="H310" s="31">
        <v>1305.4100000000001</v>
      </c>
      <c r="I310" s="31">
        <f t="shared" si="17"/>
        <v>42194.59</v>
      </c>
      <c r="J310" s="16">
        <f t="shared" si="18"/>
        <v>38678.374166666661</v>
      </c>
      <c r="K310">
        <v>12</v>
      </c>
      <c r="L310" s="16">
        <f t="shared" si="19"/>
        <v>4641.4048999999995</v>
      </c>
      <c r="M310">
        <v>0</v>
      </c>
      <c r="N310" s="16">
        <f t="shared" si="20"/>
        <v>0</v>
      </c>
    </row>
    <row r="311" spans="1:14" x14ac:dyDescent="0.25">
      <c r="A311" s="29">
        <v>19</v>
      </c>
      <c r="B311" t="s">
        <v>28</v>
      </c>
      <c r="C311" s="1" t="s">
        <v>29</v>
      </c>
      <c r="D311" t="s">
        <v>1229</v>
      </c>
      <c r="E311" t="s">
        <v>569</v>
      </c>
      <c r="F311" s="31">
        <v>7250</v>
      </c>
      <c r="G311" s="17">
        <v>6</v>
      </c>
      <c r="H311" s="31">
        <v>1305.4100000000001</v>
      </c>
      <c r="I311" s="31">
        <f t="shared" si="17"/>
        <v>42194.59</v>
      </c>
      <c r="J311" s="16">
        <f t="shared" si="18"/>
        <v>38678.374166666661</v>
      </c>
      <c r="K311">
        <v>12</v>
      </c>
      <c r="L311" s="16">
        <f t="shared" si="19"/>
        <v>4641.4048999999995</v>
      </c>
      <c r="M311">
        <v>0</v>
      </c>
      <c r="N311" s="16">
        <f t="shared" si="20"/>
        <v>0</v>
      </c>
    </row>
    <row r="312" spans="1:14" x14ac:dyDescent="0.25">
      <c r="A312" s="29">
        <v>19</v>
      </c>
      <c r="B312" t="s">
        <v>28</v>
      </c>
      <c r="C312" s="1" t="s">
        <v>29</v>
      </c>
      <c r="D312" t="s">
        <v>1364</v>
      </c>
      <c r="E312" t="s">
        <v>569</v>
      </c>
      <c r="F312" s="31">
        <v>10213.290000000001</v>
      </c>
      <c r="G312" s="17">
        <v>72</v>
      </c>
      <c r="H312" s="31">
        <v>22061.26</v>
      </c>
      <c r="I312" s="31">
        <f t="shared" si="17"/>
        <v>713295.62000000011</v>
      </c>
      <c r="J312" s="16">
        <f t="shared" si="18"/>
        <v>653854.31833333336</v>
      </c>
      <c r="K312">
        <v>12</v>
      </c>
      <c r="L312" s="16">
        <f t="shared" si="19"/>
        <v>78462.518200000006</v>
      </c>
      <c r="M312">
        <v>0</v>
      </c>
      <c r="N312" s="16">
        <f t="shared" si="20"/>
        <v>0</v>
      </c>
    </row>
    <row r="313" spans="1:14" x14ac:dyDescent="0.25">
      <c r="A313" s="29">
        <v>19</v>
      </c>
      <c r="B313" t="s">
        <v>28</v>
      </c>
      <c r="C313" s="1" t="s">
        <v>29</v>
      </c>
      <c r="D313" t="s">
        <v>1365</v>
      </c>
      <c r="E313" t="s">
        <v>569</v>
      </c>
      <c r="F313" s="31">
        <v>10213.290000000001</v>
      </c>
      <c r="G313" s="17">
        <v>36</v>
      </c>
      <c r="H313" s="31">
        <v>11029.73</v>
      </c>
      <c r="I313" s="31">
        <f t="shared" si="17"/>
        <v>356648.71000000008</v>
      </c>
      <c r="J313" s="16">
        <f t="shared" si="18"/>
        <v>326927.98416666675</v>
      </c>
      <c r="K313">
        <v>12</v>
      </c>
      <c r="L313" s="16">
        <f t="shared" si="19"/>
        <v>39231.358100000012</v>
      </c>
      <c r="M313">
        <v>0</v>
      </c>
      <c r="N313" s="16">
        <f t="shared" si="20"/>
        <v>0</v>
      </c>
    </row>
    <row r="314" spans="1:14" x14ac:dyDescent="0.25">
      <c r="A314" s="29">
        <v>20</v>
      </c>
      <c r="B314" t="s">
        <v>28</v>
      </c>
      <c r="C314" s="1" t="s">
        <v>29</v>
      </c>
      <c r="D314" t="s">
        <v>1366</v>
      </c>
      <c r="E314" t="s">
        <v>569</v>
      </c>
      <c r="F314" s="31">
        <v>581981.98</v>
      </c>
      <c r="G314" s="17">
        <v>48</v>
      </c>
      <c r="H314" s="31">
        <v>8099459.46</v>
      </c>
      <c r="I314" s="31">
        <f t="shared" si="17"/>
        <v>19835675.579999998</v>
      </c>
      <c r="J314" s="16">
        <f t="shared" si="18"/>
        <v>18182702.614999998</v>
      </c>
      <c r="K314">
        <v>12</v>
      </c>
      <c r="L314" s="16">
        <f t="shared" si="19"/>
        <v>2181924.3138000001</v>
      </c>
      <c r="M314">
        <v>0</v>
      </c>
      <c r="N314" s="16">
        <f t="shared" si="20"/>
        <v>0</v>
      </c>
    </row>
    <row r="315" spans="1:14" x14ac:dyDescent="0.25">
      <c r="A315" s="29">
        <v>20</v>
      </c>
      <c r="B315" t="s">
        <v>28</v>
      </c>
      <c r="C315" s="1" t="s">
        <v>29</v>
      </c>
      <c r="D315" t="s">
        <v>1366</v>
      </c>
      <c r="E315" t="s">
        <v>569</v>
      </c>
      <c r="F315" s="31">
        <v>581981.98</v>
      </c>
      <c r="G315" s="17">
        <v>12</v>
      </c>
      <c r="H315" s="31">
        <f>G315*F315</f>
        <v>6983783.7599999998</v>
      </c>
      <c r="I315" s="31">
        <f t="shared" si="17"/>
        <v>0</v>
      </c>
      <c r="J315" s="16">
        <f t="shared" si="18"/>
        <v>0</v>
      </c>
      <c r="K315">
        <v>12</v>
      </c>
      <c r="L315" s="16">
        <f t="shared" si="19"/>
        <v>0</v>
      </c>
      <c r="M315">
        <v>0</v>
      </c>
      <c r="N315" s="16">
        <f t="shared" si="20"/>
        <v>0</v>
      </c>
    </row>
    <row r="316" spans="1:14" x14ac:dyDescent="0.25">
      <c r="A316" s="29">
        <v>21</v>
      </c>
      <c r="B316" t="s">
        <v>28</v>
      </c>
      <c r="C316" s="1" t="s">
        <v>29</v>
      </c>
      <c r="D316" t="s">
        <v>1287</v>
      </c>
      <c r="E316" t="s">
        <v>569</v>
      </c>
      <c r="F316" s="31">
        <v>5463.96</v>
      </c>
      <c r="G316" s="17">
        <v>800</v>
      </c>
      <c r="H316" s="31">
        <v>140629.73000000001</v>
      </c>
      <c r="I316" s="31">
        <f t="shared" si="17"/>
        <v>4230538.2699999996</v>
      </c>
      <c r="J316" s="16">
        <f t="shared" si="18"/>
        <v>3877993.4141666661</v>
      </c>
      <c r="K316">
        <v>12</v>
      </c>
      <c r="L316" s="16">
        <f t="shared" si="19"/>
        <v>465359.20969999989</v>
      </c>
      <c r="M316">
        <v>0</v>
      </c>
      <c r="N316" s="16">
        <f t="shared" si="20"/>
        <v>0</v>
      </c>
    </row>
    <row r="317" spans="1:14" x14ac:dyDescent="0.25">
      <c r="A317" s="29">
        <v>21</v>
      </c>
      <c r="B317" t="s">
        <v>28</v>
      </c>
      <c r="C317" s="1" t="s">
        <v>29</v>
      </c>
      <c r="D317" t="s">
        <v>1288</v>
      </c>
      <c r="E317" t="s">
        <v>569</v>
      </c>
      <c r="F317" s="31">
        <v>5463.96</v>
      </c>
      <c r="G317" s="17">
        <v>400</v>
      </c>
      <c r="H317" s="31">
        <v>70314.41</v>
      </c>
      <c r="I317" s="31">
        <f t="shared" si="17"/>
        <v>2115269.59</v>
      </c>
      <c r="J317" s="16">
        <f t="shared" si="18"/>
        <v>1938997.1241666665</v>
      </c>
      <c r="K317">
        <v>12</v>
      </c>
      <c r="L317" s="16">
        <f t="shared" si="19"/>
        <v>232679.65489999999</v>
      </c>
      <c r="M317">
        <v>0</v>
      </c>
      <c r="N317" s="16">
        <f t="shared" si="20"/>
        <v>0</v>
      </c>
    </row>
    <row r="318" spans="1:14" x14ac:dyDescent="0.25">
      <c r="A318" s="29">
        <v>21</v>
      </c>
      <c r="B318" t="s">
        <v>28</v>
      </c>
      <c r="C318" s="1" t="s">
        <v>29</v>
      </c>
      <c r="D318" t="s">
        <v>1367</v>
      </c>
      <c r="E318" t="s">
        <v>569</v>
      </c>
      <c r="F318" s="31">
        <v>5463.96</v>
      </c>
      <c r="G318" s="17">
        <v>200</v>
      </c>
      <c r="H318" s="31">
        <v>35157.660000000003</v>
      </c>
      <c r="I318" s="31">
        <f t="shared" si="17"/>
        <v>1057634.3400000001</v>
      </c>
      <c r="J318" s="16">
        <f t="shared" si="18"/>
        <v>969498.14500000002</v>
      </c>
      <c r="K318">
        <v>12</v>
      </c>
      <c r="L318" s="16">
        <f t="shared" si="19"/>
        <v>116339.77740000001</v>
      </c>
      <c r="M318">
        <v>0</v>
      </c>
      <c r="N318" s="16">
        <f t="shared" si="20"/>
        <v>0</v>
      </c>
    </row>
    <row r="319" spans="1:14" x14ac:dyDescent="0.25">
      <c r="A319" s="29">
        <v>21</v>
      </c>
      <c r="B319" t="s">
        <v>28</v>
      </c>
      <c r="C319" s="1" t="s">
        <v>29</v>
      </c>
      <c r="D319" t="s">
        <v>1368</v>
      </c>
      <c r="E319" t="s">
        <v>569</v>
      </c>
      <c r="F319" s="31">
        <v>5814.34</v>
      </c>
      <c r="G319" s="17">
        <v>160</v>
      </c>
      <c r="H319" s="31">
        <v>29928.82</v>
      </c>
      <c r="I319" s="31">
        <f t="shared" si="17"/>
        <v>900365.58000000007</v>
      </c>
      <c r="J319" s="16">
        <f t="shared" si="18"/>
        <v>825335.11499999999</v>
      </c>
      <c r="K319">
        <v>12</v>
      </c>
      <c r="L319" s="16">
        <f t="shared" si="19"/>
        <v>99040.213799999983</v>
      </c>
      <c r="M319">
        <v>0</v>
      </c>
      <c r="N319" s="16">
        <f t="shared" si="20"/>
        <v>0</v>
      </c>
    </row>
    <row r="320" spans="1:14" x14ac:dyDescent="0.25">
      <c r="A320" s="29">
        <v>21</v>
      </c>
      <c r="B320" t="s">
        <v>28</v>
      </c>
      <c r="C320" s="1" t="s">
        <v>29</v>
      </c>
      <c r="D320" t="s">
        <v>1369</v>
      </c>
      <c r="E320" t="s">
        <v>569</v>
      </c>
      <c r="F320" s="31">
        <v>5814.34</v>
      </c>
      <c r="G320" s="17">
        <v>80</v>
      </c>
      <c r="H320" s="31">
        <v>14964.869999999999</v>
      </c>
      <c r="I320" s="31">
        <f t="shared" si="17"/>
        <v>450182.33</v>
      </c>
      <c r="J320" s="16">
        <f t="shared" si="18"/>
        <v>412667.1358333333</v>
      </c>
      <c r="K320">
        <v>12</v>
      </c>
      <c r="L320" s="16">
        <f t="shared" si="19"/>
        <v>49520.056299999997</v>
      </c>
      <c r="M320">
        <v>0</v>
      </c>
      <c r="N320" s="16">
        <f t="shared" si="20"/>
        <v>0</v>
      </c>
    </row>
    <row r="321" spans="1:14" x14ac:dyDescent="0.25">
      <c r="A321" s="29">
        <v>21</v>
      </c>
      <c r="B321" t="s">
        <v>28</v>
      </c>
      <c r="C321" s="1" t="s">
        <v>29</v>
      </c>
      <c r="D321" t="s">
        <v>1370</v>
      </c>
      <c r="E321" t="s">
        <v>569</v>
      </c>
      <c r="F321" s="31">
        <v>15151.46</v>
      </c>
      <c r="G321" s="17">
        <v>24</v>
      </c>
      <c r="H321" s="31">
        <v>11699.09</v>
      </c>
      <c r="I321" s="31">
        <f t="shared" si="17"/>
        <v>351935.94999999995</v>
      </c>
      <c r="J321" s="16">
        <f t="shared" si="18"/>
        <v>322607.9541666666</v>
      </c>
      <c r="K321">
        <v>12</v>
      </c>
      <c r="L321" s="16">
        <f t="shared" si="19"/>
        <v>38712.954499999993</v>
      </c>
      <c r="M321">
        <v>0</v>
      </c>
      <c r="N321" s="16">
        <f t="shared" si="20"/>
        <v>0</v>
      </c>
    </row>
    <row r="322" spans="1:14" x14ac:dyDescent="0.25">
      <c r="A322" s="29">
        <v>21</v>
      </c>
      <c r="B322" t="s">
        <v>28</v>
      </c>
      <c r="C322" s="1" t="s">
        <v>29</v>
      </c>
      <c r="D322" t="s">
        <v>1371</v>
      </c>
      <c r="E322" t="s">
        <v>569</v>
      </c>
      <c r="F322" s="31">
        <v>15151.46</v>
      </c>
      <c r="G322" s="17">
        <v>32</v>
      </c>
      <c r="H322" s="31">
        <v>15599.099999999999</v>
      </c>
      <c r="I322" s="31">
        <f t="shared" si="17"/>
        <v>469247.62</v>
      </c>
      <c r="J322" s="16">
        <f t="shared" si="18"/>
        <v>430143.65166666667</v>
      </c>
      <c r="K322">
        <v>12</v>
      </c>
      <c r="L322" s="16">
        <f t="shared" si="19"/>
        <v>51617.2382</v>
      </c>
      <c r="M322">
        <v>0</v>
      </c>
      <c r="N322" s="16">
        <f t="shared" si="20"/>
        <v>0</v>
      </c>
    </row>
    <row r="323" spans="1:14" x14ac:dyDescent="0.25">
      <c r="A323" s="29">
        <v>21</v>
      </c>
      <c r="B323" t="s">
        <v>28</v>
      </c>
      <c r="C323" s="1" t="s">
        <v>29</v>
      </c>
      <c r="D323" t="s">
        <v>1292</v>
      </c>
      <c r="E323" t="s">
        <v>569</v>
      </c>
      <c r="F323" s="31">
        <v>9009.01</v>
      </c>
      <c r="G323" s="17">
        <v>128</v>
      </c>
      <c r="H323" s="31">
        <v>37100</v>
      </c>
      <c r="I323" s="31">
        <f t="shared" ref="I323:I386" si="21">G323*F323-H323</f>
        <v>1116053.28</v>
      </c>
      <c r="J323" s="16">
        <f t="shared" ref="J323:J386" si="22">11/12*I323</f>
        <v>1023048.84</v>
      </c>
      <c r="K323">
        <v>12</v>
      </c>
      <c r="L323" s="16">
        <f t="shared" ref="L323:L386" si="23">J323*K323/100</f>
        <v>122765.86079999999</v>
      </c>
      <c r="M323">
        <v>0</v>
      </c>
      <c r="N323" s="16">
        <f t="shared" ref="N323:N386" si="24">M323*J323/100</f>
        <v>0</v>
      </c>
    </row>
    <row r="324" spans="1:14" x14ac:dyDescent="0.25">
      <c r="A324" s="29">
        <v>21</v>
      </c>
      <c r="B324" t="s">
        <v>28</v>
      </c>
      <c r="C324" s="1" t="s">
        <v>29</v>
      </c>
      <c r="D324" t="s">
        <v>1293</v>
      </c>
      <c r="E324" t="s">
        <v>569</v>
      </c>
      <c r="F324" s="31">
        <v>9009.01</v>
      </c>
      <c r="G324" s="17">
        <v>48</v>
      </c>
      <c r="H324" s="31">
        <v>13911.72</v>
      </c>
      <c r="I324" s="31">
        <f t="shared" si="21"/>
        <v>418520.76</v>
      </c>
      <c r="J324" s="16">
        <f t="shared" si="22"/>
        <v>383644.02999999997</v>
      </c>
      <c r="K324">
        <v>12</v>
      </c>
      <c r="L324" s="16">
        <f t="shared" si="23"/>
        <v>46037.283599999995</v>
      </c>
      <c r="M324">
        <v>0</v>
      </c>
      <c r="N324" s="16">
        <f t="shared" si="24"/>
        <v>0</v>
      </c>
    </row>
    <row r="325" spans="1:14" x14ac:dyDescent="0.25">
      <c r="A325" s="29">
        <v>21</v>
      </c>
      <c r="B325" t="s">
        <v>28</v>
      </c>
      <c r="C325" s="1" t="s">
        <v>29</v>
      </c>
      <c r="D325" t="s">
        <v>1294</v>
      </c>
      <c r="E325" t="s">
        <v>569</v>
      </c>
      <c r="F325" s="31">
        <v>9009.01</v>
      </c>
      <c r="G325" s="17">
        <v>80</v>
      </c>
      <c r="H325" s="31">
        <v>23187.39</v>
      </c>
      <c r="I325" s="31">
        <f t="shared" si="21"/>
        <v>697533.41</v>
      </c>
      <c r="J325" s="16">
        <f t="shared" si="22"/>
        <v>639405.62583333335</v>
      </c>
      <c r="K325">
        <v>12</v>
      </c>
      <c r="L325" s="16">
        <f t="shared" si="23"/>
        <v>76728.675099999993</v>
      </c>
      <c r="M325">
        <v>0</v>
      </c>
      <c r="N325" s="16">
        <f t="shared" si="24"/>
        <v>0</v>
      </c>
    </row>
    <row r="326" spans="1:14" x14ac:dyDescent="0.25">
      <c r="A326" s="29">
        <v>21</v>
      </c>
      <c r="B326" t="s">
        <v>28</v>
      </c>
      <c r="C326" s="1" t="s">
        <v>29</v>
      </c>
      <c r="D326" t="s">
        <v>1372</v>
      </c>
      <c r="E326" t="s">
        <v>569</v>
      </c>
      <c r="F326" s="31">
        <v>9009.01</v>
      </c>
      <c r="G326" s="17">
        <v>48</v>
      </c>
      <c r="H326" s="31">
        <v>13911.72</v>
      </c>
      <c r="I326" s="31">
        <f t="shared" si="21"/>
        <v>418520.76</v>
      </c>
      <c r="J326" s="16">
        <f t="shared" si="22"/>
        <v>383644.02999999997</v>
      </c>
      <c r="K326">
        <v>12</v>
      </c>
      <c r="L326" s="16">
        <f t="shared" si="23"/>
        <v>46037.283599999995</v>
      </c>
      <c r="M326">
        <v>0</v>
      </c>
      <c r="N326" s="16">
        <f t="shared" si="24"/>
        <v>0</v>
      </c>
    </row>
    <row r="327" spans="1:14" x14ac:dyDescent="0.25">
      <c r="A327" s="29">
        <v>21</v>
      </c>
      <c r="B327" t="s">
        <v>28</v>
      </c>
      <c r="C327" s="1" t="s">
        <v>29</v>
      </c>
      <c r="D327" t="s">
        <v>1285</v>
      </c>
      <c r="E327" t="s">
        <v>569</v>
      </c>
      <c r="F327" s="31">
        <v>19478.939999999999</v>
      </c>
      <c r="G327" s="17">
        <v>100</v>
      </c>
      <c r="H327" s="31">
        <v>62667.570000000007</v>
      </c>
      <c r="I327" s="31">
        <f t="shared" si="21"/>
        <v>1885226.4299999997</v>
      </c>
      <c r="J327" s="16">
        <f t="shared" si="22"/>
        <v>1728124.2274999996</v>
      </c>
      <c r="K327">
        <v>12</v>
      </c>
      <c r="L327" s="16">
        <f t="shared" si="23"/>
        <v>207374.90729999996</v>
      </c>
      <c r="M327">
        <v>0</v>
      </c>
      <c r="N327" s="16">
        <f t="shared" si="24"/>
        <v>0</v>
      </c>
    </row>
    <row r="328" spans="1:14" x14ac:dyDescent="0.25">
      <c r="A328" s="29">
        <v>22</v>
      </c>
      <c r="B328" t="s">
        <v>28</v>
      </c>
      <c r="C328" s="1" t="s">
        <v>29</v>
      </c>
      <c r="D328" t="s">
        <v>1259</v>
      </c>
      <c r="E328" t="s">
        <v>569</v>
      </c>
      <c r="F328" s="31">
        <v>4571.63</v>
      </c>
      <c r="G328" s="17">
        <v>144</v>
      </c>
      <c r="H328" s="31">
        <v>19748.650000000001</v>
      </c>
      <c r="I328" s="31">
        <f t="shared" si="21"/>
        <v>638566.06999999995</v>
      </c>
      <c r="J328" s="16">
        <f t="shared" si="22"/>
        <v>585352.23083333322</v>
      </c>
      <c r="K328">
        <v>12</v>
      </c>
      <c r="L328" s="16">
        <f t="shared" si="23"/>
        <v>70242.267699999982</v>
      </c>
      <c r="M328">
        <v>0</v>
      </c>
      <c r="N328" s="16">
        <f t="shared" si="24"/>
        <v>0</v>
      </c>
    </row>
    <row r="329" spans="1:14" x14ac:dyDescent="0.25">
      <c r="A329" s="29">
        <v>22</v>
      </c>
      <c r="B329" t="s">
        <v>28</v>
      </c>
      <c r="C329" s="1" t="s">
        <v>29</v>
      </c>
      <c r="D329" t="s">
        <v>1260</v>
      </c>
      <c r="E329" t="s">
        <v>569</v>
      </c>
      <c r="F329" s="31">
        <v>3752.73</v>
      </c>
      <c r="G329" s="17">
        <v>144</v>
      </c>
      <c r="H329" s="31">
        <v>16211.71</v>
      </c>
      <c r="I329" s="31">
        <f t="shared" si="21"/>
        <v>524181.41</v>
      </c>
      <c r="J329" s="16">
        <f t="shared" si="22"/>
        <v>480499.6258333333</v>
      </c>
      <c r="K329">
        <v>12</v>
      </c>
      <c r="L329" s="16">
        <f t="shared" si="23"/>
        <v>57659.955099999999</v>
      </c>
      <c r="M329">
        <v>0</v>
      </c>
      <c r="N329" s="16">
        <f t="shared" si="24"/>
        <v>0</v>
      </c>
    </row>
    <row r="330" spans="1:14" x14ac:dyDescent="0.25">
      <c r="A330" s="29">
        <v>22</v>
      </c>
      <c r="B330" t="s">
        <v>28</v>
      </c>
      <c r="C330" s="1" t="s">
        <v>29</v>
      </c>
      <c r="D330" t="s">
        <v>1237</v>
      </c>
      <c r="E330" t="s">
        <v>569</v>
      </c>
      <c r="F330" s="31">
        <v>3966.67</v>
      </c>
      <c r="G330" s="17">
        <v>144</v>
      </c>
      <c r="H330" s="31">
        <v>17136.04</v>
      </c>
      <c r="I330" s="31">
        <f t="shared" si="21"/>
        <v>554064.43999999994</v>
      </c>
      <c r="J330" s="16">
        <f t="shared" si="22"/>
        <v>507892.40333333326</v>
      </c>
      <c r="K330">
        <v>12</v>
      </c>
      <c r="L330" s="16">
        <f t="shared" si="23"/>
        <v>60947.088399999986</v>
      </c>
      <c r="M330">
        <v>0</v>
      </c>
      <c r="N330" s="16">
        <f t="shared" si="24"/>
        <v>0</v>
      </c>
    </row>
    <row r="331" spans="1:14" x14ac:dyDescent="0.25">
      <c r="A331" s="29">
        <v>22</v>
      </c>
      <c r="B331" t="s">
        <v>28</v>
      </c>
      <c r="C331" s="1" t="s">
        <v>29</v>
      </c>
      <c r="D331" t="s">
        <v>1373</v>
      </c>
      <c r="E331" t="s">
        <v>569</v>
      </c>
      <c r="F331" s="31">
        <v>3601.97</v>
      </c>
      <c r="G331" s="17">
        <v>144</v>
      </c>
      <c r="H331" s="31">
        <v>15561.26</v>
      </c>
      <c r="I331" s="31">
        <f t="shared" si="21"/>
        <v>503122.42</v>
      </c>
      <c r="J331" s="16">
        <f t="shared" si="22"/>
        <v>461195.55166666664</v>
      </c>
      <c r="K331">
        <v>12</v>
      </c>
      <c r="L331" s="16">
        <f t="shared" si="23"/>
        <v>55343.466199999995</v>
      </c>
      <c r="M331">
        <v>0</v>
      </c>
      <c r="N331" s="16">
        <f t="shared" si="24"/>
        <v>0</v>
      </c>
    </row>
    <row r="332" spans="1:14" x14ac:dyDescent="0.25">
      <c r="A332" s="29">
        <v>22</v>
      </c>
      <c r="B332" t="s">
        <v>28</v>
      </c>
      <c r="C332" s="1" t="s">
        <v>29</v>
      </c>
      <c r="D332" t="s">
        <v>1264</v>
      </c>
      <c r="E332" t="s">
        <v>569</v>
      </c>
      <c r="F332" s="31">
        <v>3117.87</v>
      </c>
      <c r="G332" s="17">
        <v>72</v>
      </c>
      <c r="H332" s="31">
        <v>6735.14</v>
      </c>
      <c r="I332" s="31">
        <f t="shared" si="21"/>
        <v>217751.49999999997</v>
      </c>
      <c r="J332" s="16">
        <f t="shared" si="22"/>
        <v>199605.54166666663</v>
      </c>
      <c r="K332">
        <v>12</v>
      </c>
      <c r="L332" s="16">
        <f t="shared" si="23"/>
        <v>23952.664999999994</v>
      </c>
      <c r="M332">
        <v>0</v>
      </c>
      <c r="N332" s="16">
        <f t="shared" si="24"/>
        <v>0</v>
      </c>
    </row>
    <row r="333" spans="1:14" x14ac:dyDescent="0.25">
      <c r="A333" s="29">
        <v>22</v>
      </c>
      <c r="B333" t="s">
        <v>28</v>
      </c>
      <c r="C333" s="1" t="s">
        <v>29</v>
      </c>
      <c r="D333" t="s">
        <v>1218</v>
      </c>
      <c r="E333" t="s">
        <v>569</v>
      </c>
      <c r="F333" s="31">
        <v>7411.11</v>
      </c>
      <c r="G333" s="17">
        <v>108</v>
      </c>
      <c r="H333" s="31">
        <v>24011.71</v>
      </c>
      <c r="I333" s="31">
        <f t="shared" si="21"/>
        <v>776388.17</v>
      </c>
      <c r="J333" s="16">
        <f t="shared" si="22"/>
        <v>711689.15583333338</v>
      </c>
      <c r="K333">
        <v>12</v>
      </c>
      <c r="L333" s="16">
        <f t="shared" si="23"/>
        <v>85402.698700000008</v>
      </c>
      <c r="M333">
        <v>0</v>
      </c>
      <c r="N333" s="16">
        <f t="shared" si="24"/>
        <v>0</v>
      </c>
    </row>
    <row r="334" spans="1:14" x14ac:dyDescent="0.25">
      <c r="A334" s="29">
        <v>22</v>
      </c>
      <c r="B334" t="s">
        <v>28</v>
      </c>
      <c r="C334" s="1" t="s">
        <v>29</v>
      </c>
      <c r="D334" t="s">
        <v>1219</v>
      </c>
      <c r="E334" t="s">
        <v>569</v>
      </c>
      <c r="F334" s="31">
        <v>7636.11</v>
      </c>
      <c r="G334" s="17">
        <v>108</v>
      </c>
      <c r="H334" s="31">
        <v>24741.439999999999</v>
      </c>
      <c r="I334" s="31">
        <f t="shared" si="21"/>
        <v>799958.44000000006</v>
      </c>
      <c r="J334" s="16">
        <f t="shared" si="22"/>
        <v>733295.23666666669</v>
      </c>
      <c r="K334">
        <v>12</v>
      </c>
      <c r="L334" s="16">
        <f t="shared" si="23"/>
        <v>87995.428400000004</v>
      </c>
      <c r="M334">
        <v>0</v>
      </c>
      <c r="N334" s="16">
        <f t="shared" si="24"/>
        <v>0</v>
      </c>
    </row>
    <row r="335" spans="1:14" x14ac:dyDescent="0.25">
      <c r="A335" s="29">
        <v>22</v>
      </c>
      <c r="B335" t="s">
        <v>28</v>
      </c>
      <c r="C335" s="1" t="s">
        <v>29</v>
      </c>
      <c r="D335" t="s">
        <v>1220</v>
      </c>
      <c r="E335" t="s">
        <v>569</v>
      </c>
      <c r="F335" s="31">
        <v>7411.11</v>
      </c>
      <c r="G335" s="17">
        <v>72</v>
      </c>
      <c r="H335" s="31">
        <v>16008.11</v>
      </c>
      <c r="I335" s="31">
        <f t="shared" si="21"/>
        <v>517591.80999999994</v>
      </c>
      <c r="J335" s="16">
        <f t="shared" si="22"/>
        <v>474459.15916666662</v>
      </c>
      <c r="K335">
        <v>12</v>
      </c>
      <c r="L335" s="16">
        <f t="shared" si="23"/>
        <v>56935.099099999992</v>
      </c>
      <c r="M335">
        <v>0</v>
      </c>
      <c r="N335" s="16">
        <f t="shared" si="24"/>
        <v>0</v>
      </c>
    </row>
    <row r="336" spans="1:14" x14ac:dyDescent="0.25">
      <c r="A336" s="29">
        <v>22</v>
      </c>
      <c r="B336" t="s">
        <v>28</v>
      </c>
      <c r="C336" s="1" t="s">
        <v>29</v>
      </c>
      <c r="D336" t="s">
        <v>1374</v>
      </c>
      <c r="E336" t="s">
        <v>569</v>
      </c>
      <c r="F336" s="31">
        <v>7411.11</v>
      </c>
      <c r="G336" s="17">
        <v>36</v>
      </c>
      <c r="H336" s="31">
        <v>8003.6</v>
      </c>
      <c r="I336" s="31">
        <f t="shared" si="21"/>
        <v>258796.35999999996</v>
      </c>
      <c r="J336" s="16">
        <f t="shared" si="22"/>
        <v>237229.99666666662</v>
      </c>
      <c r="K336">
        <v>12</v>
      </c>
      <c r="L336" s="16">
        <f t="shared" si="23"/>
        <v>28467.599599999994</v>
      </c>
      <c r="M336">
        <v>0</v>
      </c>
      <c r="N336" s="16">
        <f t="shared" si="24"/>
        <v>0</v>
      </c>
    </row>
    <row r="337" spans="1:14" x14ac:dyDescent="0.25">
      <c r="A337" s="29">
        <v>22</v>
      </c>
      <c r="B337" t="s">
        <v>28</v>
      </c>
      <c r="C337" s="1" t="s">
        <v>29</v>
      </c>
      <c r="D337" t="s">
        <v>1375</v>
      </c>
      <c r="E337" t="s">
        <v>569</v>
      </c>
      <c r="F337" s="31">
        <v>3752.73</v>
      </c>
      <c r="G337" s="17">
        <v>144</v>
      </c>
      <c r="H337" s="31">
        <v>16211.71</v>
      </c>
      <c r="I337" s="31">
        <f t="shared" si="21"/>
        <v>524181.41</v>
      </c>
      <c r="J337" s="16">
        <f t="shared" si="22"/>
        <v>480499.6258333333</v>
      </c>
      <c r="K337">
        <v>12</v>
      </c>
      <c r="L337" s="16">
        <f t="shared" si="23"/>
        <v>57659.955099999999</v>
      </c>
      <c r="M337">
        <v>0</v>
      </c>
      <c r="N337" s="16">
        <f t="shared" si="24"/>
        <v>0</v>
      </c>
    </row>
    <row r="338" spans="1:14" x14ac:dyDescent="0.25">
      <c r="A338" s="29">
        <v>22</v>
      </c>
      <c r="B338" t="s">
        <v>28</v>
      </c>
      <c r="C338" s="1" t="s">
        <v>29</v>
      </c>
      <c r="D338" t="s">
        <v>1321</v>
      </c>
      <c r="E338" t="s">
        <v>569</v>
      </c>
      <c r="F338" s="31">
        <v>1458.45</v>
      </c>
      <c r="G338" s="17">
        <v>24</v>
      </c>
      <c r="H338" s="31">
        <v>1050.45</v>
      </c>
      <c r="I338" s="31">
        <f t="shared" si="21"/>
        <v>33952.350000000006</v>
      </c>
      <c r="J338" s="16">
        <f t="shared" si="22"/>
        <v>31122.987500000003</v>
      </c>
      <c r="K338">
        <v>12</v>
      </c>
      <c r="L338" s="16">
        <f t="shared" si="23"/>
        <v>3734.7585000000004</v>
      </c>
      <c r="M338">
        <v>0</v>
      </c>
      <c r="N338" s="16">
        <f t="shared" si="24"/>
        <v>0</v>
      </c>
    </row>
    <row r="339" spans="1:14" x14ac:dyDescent="0.25">
      <c r="A339" s="29">
        <v>22</v>
      </c>
      <c r="B339" t="s">
        <v>28</v>
      </c>
      <c r="C339" s="1" t="s">
        <v>29</v>
      </c>
      <c r="D339" t="s">
        <v>1325</v>
      </c>
      <c r="E339" t="s">
        <v>569</v>
      </c>
      <c r="F339" s="31">
        <v>1389.19</v>
      </c>
      <c r="G339" s="17">
        <v>12</v>
      </c>
      <c r="H339" s="31">
        <f>G339*F339</f>
        <v>16670.28</v>
      </c>
      <c r="I339" s="31">
        <f t="shared" si="21"/>
        <v>0</v>
      </c>
      <c r="J339" s="16">
        <f t="shared" si="22"/>
        <v>0</v>
      </c>
      <c r="K339">
        <v>12</v>
      </c>
      <c r="L339" s="16">
        <f t="shared" si="23"/>
        <v>0</v>
      </c>
      <c r="M339">
        <v>0</v>
      </c>
      <c r="N339" s="16">
        <f t="shared" si="24"/>
        <v>0</v>
      </c>
    </row>
    <row r="340" spans="1:14" x14ac:dyDescent="0.25">
      <c r="A340" s="29">
        <v>22</v>
      </c>
      <c r="B340" t="s">
        <v>28</v>
      </c>
      <c r="C340" s="1" t="s">
        <v>29</v>
      </c>
      <c r="D340" t="s">
        <v>1255</v>
      </c>
      <c r="E340" t="s">
        <v>569</v>
      </c>
      <c r="F340" s="31">
        <v>3752.73</v>
      </c>
      <c r="G340" s="17">
        <v>144</v>
      </c>
      <c r="H340" s="31">
        <v>16211.71</v>
      </c>
      <c r="I340" s="31">
        <f t="shared" si="21"/>
        <v>524181.41</v>
      </c>
      <c r="J340" s="16">
        <f t="shared" si="22"/>
        <v>480499.6258333333</v>
      </c>
      <c r="K340">
        <v>12</v>
      </c>
      <c r="L340" s="16">
        <f t="shared" si="23"/>
        <v>57659.955099999999</v>
      </c>
      <c r="M340">
        <v>0</v>
      </c>
      <c r="N340" s="16">
        <f t="shared" si="24"/>
        <v>0</v>
      </c>
    </row>
    <row r="341" spans="1:14" x14ac:dyDescent="0.25">
      <c r="A341" s="29">
        <v>22</v>
      </c>
      <c r="B341" t="s">
        <v>28</v>
      </c>
      <c r="C341" s="1" t="s">
        <v>29</v>
      </c>
      <c r="D341" t="s">
        <v>1224</v>
      </c>
      <c r="E341" t="s">
        <v>569</v>
      </c>
      <c r="F341" s="31">
        <v>4571.63</v>
      </c>
      <c r="G341" s="17">
        <v>144</v>
      </c>
      <c r="H341" s="31">
        <v>19748.650000000001</v>
      </c>
      <c r="I341" s="31">
        <f t="shared" si="21"/>
        <v>638566.06999999995</v>
      </c>
      <c r="J341" s="16">
        <f t="shared" si="22"/>
        <v>585352.23083333322</v>
      </c>
      <c r="K341">
        <v>12</v>
      </c>
      <c r="L341" s="16">
        <f t="shared" si="23"/>
        <v>70242.267699999982</v>
      </c>
      <c r="M341">
        <v>0</v>
      </c>
      <c r="N341" s="16">
        <f t="shared" si="24"/>
        <v>0</v>
      </c>
    </row>
    <row r="342" spans="1:14" x14ac:dyDescent="0.25">
      <c r="A342" s="29">
        <v>22</v>
      </c>
      <c r="B342" t="s">
        <v>28</v>
      </c>
      <c r="C342" s="1" t="s">
        <v>29</v>
      </c>
      <c r="D342" t="s">
        <v>1363</v>
      </c>
      <c r="E342" t="s">
        <v>569</v>
      </c>
      <c r="F342" s="31">
        <v>3752.73</v>
      </c>
      <c r="G342" s="17">
        <v>72</v>
      </c>
      <c r="H342" s="31">
        <v>8106.31</v>
      </c>
      <c r="I342" s="31">
        <f t="shared" si="21"/>
        <v>262090.25</v>
      </c>
      <c r="J342" s="16">
        <f t="shared" si="22"/>
        <v>240249.39583333331</v>
      </c>
      <c r="K342">
        <v>12</v>
      </c>
      <c r="L342" s="16">
        <f t="shared" si="23"/>
        <v>28829.927500000002</v>
      </c>
      <c r="M342">
        <v>0</v>
      </c>
      <c r="N342" s="16">
        <f t="shared" si="24"/>
        <v>0</v>
      </c>
    </row>
    <row r="343" spans="1:14" x14ac:dyDescent="0.25">
      <c r="A343" s="29">
        <v>22</v>
      </c>
      <c r="B343" t="s">
        <v>28</v>
      </c>
      <c r="C343" s="1" t="s">
        <v>29</v>
      </c>
      <c r="D343" t="s">
        <v>1271</v>
      </c>
      <c r="E343" t="s">
        <v>569</v>
      </c>
      <c r="F343" s="31">
        <v>1503.11</v>
      </c>
      <c r="G343" s="17">
        <v>432</v>
      </c>
      <c r="H343" s="31">
        <v>19480.18</v>
      </c>
      <c r="I343" s="31">
        <f t="shared" si="21"/>
        <v>629863.33999999985</v>
      </c>
      <c r="J343" s="16">
        <f t="shared" si="22"/>
        <v>577374.72833333316</v>
      </c>
      <c r="K343">
        <v>12</v>
      </c>
      <c r="L343" s="16">
        <f t="shared" si="23"/>
        <v>69284.96739999998</v>
      </c>
      <c r="M343">
        <v>0</v>
      </c>
      <c r="N343" s="16">
        <f t="shared" si="24"/>
        <v>0</v>
      </c>
    </row>
    <row r="344" spans="1:14" x14ac:dyDescent="0.25">
      <c r="A344" s="29">
        <v>22</v>
      </c>
      <c r="B344" t="s">
        <v>28</v>
      </c>
      <c r="C344" s="1" t="s">
        <v>29</v>
      </c>
      <c r="D344" t="s">
        <v>1225</v>
      </c>
      <c r="E344" t="s">
        <v>569</v>
      </c>
      <c r="F344" s="31">
        <v>7636.11</v>
      </c>
      <c r="G344" s="17">
        <v>72</v>
      </c>
      <c r="H344" s="31">
        <v>16493.689999999999</v>
      </c>
      <c r="I344" s="31">
        <f t="shared" si="21"/>
        <v>533306.23</v>
      </c>
      <c r="J344" s="16">
        <f t="shared" si="22"/>
        <v>488864.04416666663</v>
      </c>
      <c r="K344">
        <v>12</v>
      </c>
      <c r="L344" s="16">
        <f t="shared" si="23"/>
        <v>58663.68529999999</v>
      </c>
      <c r="M344">
        <v>0</v>
      </c>
      <c r="N344" s="16">
        <f t="shared" si="24"/>
        <v>0</v>
      </c>
    </row>
    <row r="345" spans="1:14" x14ac:dyDescent="0.25">
      <c r="A345" s="29">
        <v>22</v>
      </c>
      <c r="B345" t="s">
        <v>28</v>
      </c>
      <c r="C345" s="1" t="s">
        <v>29</v>
      </c>
      <c r="D345" t="s">
        <v>1227</v>
      </c>
      <c r="E345" t="s">
        <v>569</v>
      </c>
      <c r="F345" s="31">
        <v>7411.11</v>
      </c>
      <c r="G345" s="17">
        <v>72</v>
      </c>
      <c r="H345" s="31">
        <v>16008.11</v>
      </c>
      <c r="I345" s="31">
        <f t="shared" si="21"/>
        <v>517591.80999999994</v>
      </c>
      <c r="J345" s="16">
        <f t="shared" si="22"/>
        <v>474459.15916666662</v>
      </c>
      <c r="K345">
        <v>12</v>
      </c>
      <c r="L345" s="16">
        <f t="shared" si="23"/>
        <v>56935.099099999992</v>
      </c>
      <c r="M345">
        <v>0</v>
      </c>
      <c r="N345" s="16">
        <f t="shared" si="24"/>
        <v>0</v>
      </c>
    </row>
    <row r="346" spans="1:14" x14ac:dyDescent="0.25">
      <c r="A346" s="29">
        <v>22</v>
      </c>
      <c r="B346" t="s">
        <v>28</v>
      </c>
      <c r="C346" s="1" t="s">
        <v>29</v>
      </c>
      <c r="D346" t="s">
        <v>1376</v>
      </c>
      <c r="E346" t="s">
        <v>569</v>
      </c>
      <c r="F346" s="31">
        <v>10213.290000000001</v>
      </c>
      <c r="G346" s="17">
        <v>12</v>
      </c>
      <c r="H346" s="31">
        <v>3676.58</v>
      </c>
      <c r="I346" s="31">
        <f t="shared" si="21"/>
        <v>118882.90000000001</v>
      </c>
      <c r="J346" s="16">
        <f t="shared" si="22"/>
        <v>108975.99166666667</v>
      </c>
      <c r="K346">
        <v>12</v>
      </c>
      <c r="L346" s="16">
        <f t="shared" si="23"/>
        <v>13077.118999999999</v>
      </c>
      <c r="M346">
        <v>0</v>
      </c>
      <c r="N346" s="16">
        <f t="shared" si="24"/>
        <v>0</v>
      </c>
    </row>
    <row r="347" spans="1:14" x14ac:dyDescent="0.25">
      <c r="A347" s="29">
        <v>22</v>
      </c>
      <c r="B347" t="s">
        <v>28</v>
      </c>
      <c r="C347" s="1" t="s">
        <v>29</v>
      </c>
      <c r="D347" t="s">
        <v>1310</v>
      </c>
      <c r="E347" t="s">
        <v>569</v>
      </c>
      <c r="F347" s="31">
        <v>7250.01</v>
      </c>
      <c r="G347" s="17">
        <v>51</v>
      </c>
      <c r="H347" s="31">
        <v>11092.79</v>
      </c>
      <c r="I347" s="31">
        <f t="shared" si="21"/>
        <v>358657.72000000003</v>
      </c>
      <c r="J347" s="16">
        <f t="shared" si="22"/>
        <v>328769.57666666666</v>
      </c>
      <c r="K347">
        <v>12</v>
      </c>
      <c r="L347" s="16">
        <f t="shared" si="23"/>
        <v>39452.349199999997</v>
      </c>
      <c r="M347">
        <v>0</v>
      </c>
      <c r="N347" s="16">
        <f t="shared" si="24"/>
        <v>0</v>
      </c>
    </row>
    <row r="348" spans="1:14" x14ac:dyDescent="0.25">
      <c r="A348" s="29">
        <v>22</v>
      </c>
      <c r="B348" t="s">
        <v>28</v>
      </c>
      <c r="C348" s="1" t="s">
        <v>29</v>
      </c>
      <c r="D348" t="s">
        <v>1230</v>
      </c>
      <c r="E348" t="s">
        <v>569</v>
      </c>
      <c r="F348" s="31">
        <v>7250.02</v>
      </c>
      <c r="G348" s="17">
        <v>25</v>
      </c>
      <c r="H348" s="31">
        <v>5437.84</v>
      </c>
      <c r="I348" s="31">
        <f t="shared" si="21"/>
        <v>175812.66</v>
      </c>
      <c r="J348" s="16">
        <f t="shared" si="22"/>
        <v>161161.60500000001</v>
      </c>
      <c r="K348">
        <v>12</v>
      </c>
      <c r="L348" s="16">
        <f t="shared" si="23"/>
        <v>19339.392600000003</v>
      </c>
      <c r="M348">
        <v>0</v>
      </c>
      <c r="N348" s="16">
        <f t="shared" si="24"/>
        <v>0</v>
      </c>
    </row>
    <row r="349" spans="1:14" x14ac:dyDescent="0.25">
      <c r="A349" s="29">
        <v>22</v>
      </c>
      <c r="B349" t="s">
        <v>28</v>
      </c>
      <c r="C349" s="1" t="s">
        <v>29</v>
      </c>
      <c r="D349" t="s">
        <v>1230</v>
      </c>
      <c r="E349" t="s">
        <v>569</v>
      </c>
      <c r="F349" s="31">
        <v>7250.03</v>
      </c>
      <c r="G349" s="17">
        <v>15</v>
      </c>
      <c r="H349" s="31">
        <v>108750.45</v>
      </c>
      <c r="I349" s="31">
        <f t="shared" si="21"/>
        <v>0</v>
      </c>
      <c r="J349" s="16">
        <f t="shared" si="22"/>
        <v>0</v>
      </c>
      <c r="K349">
        <v>12</v>
      </c>
      <c r="L349" s="16">
        <f t="shared" si="23"/>
        <v>0</v>
      </c>
      <c r="M349">
        <v>0</v>
      </c>
      <c r="N349" s="16">
        <f t="shared" si="24"/>
        <v>0</v>
      </c>
    </row>
    <row r="350" spans="1:14" x14ac:dyDescent="0.25">
      <c r="A350" s="29">
        <v>22</v>
      </c>
      <c r="B350" t="s">
        <v>28</v>
      </c>
      <c r="C350" s="1" t="s">
        <v>29</v>
      </c>
      <c r="D350" t="s">
        <v>1272</v>
      </c>
      <c r="E350" t="s">
        <v>569</v>
      </c>
      <c r="F350" s="31">
        <v>3680</v>
      </c>
      <c r="G350" s="17">
        <v>100</v>
      </c>
      <c r="H350" s="31">
        <v>11039.64</v>
      </c>
      <c r="I350" s="31">
        <f t="shared" si="21"/>
        <v>356960.36</v>
      </c>
      <c r="J350" s="16">
        <f t="shared" si="22"/>
        <v>327213.66333333333</v>
      </c>
      <c r="K350">
        <v>12</v>
      </c>
      <c r="L350" s="16">
        <f t="shared" si="23"/>
        <v>39265.639600000002</v>
      </c>
      <c r="M350">
        <v>0</v>
      </c>
      <c r="N350" s="16">
        <f t="shared" si="24"/>
        <v>0</v>
      </c>
    </row>
    <row r="351" spans="1:14" x14ac:dyDescent="0.25">
      <c r="A351" s="29">
        <v>22</v>
      </c>
      <c r="B351" t="s">
        <v>28</v>
      </c>
      <c r="C351" s="1" t="s">
        <v>29</v>
      </c>
      <c r="D351" t="s">
        <v>1273</v>
      </c>
      <c r="E351" t="s">
        <v>569</v>
      </c>
      <c r="F351" s="31">
        <v>3680</v>
      </c>
      <c r="G351" s="17">
        <v>200</v>
      </c>
      <c r="H351" s="31">
        <v>22080.18</v>
      </c>
      <c r="I351" s="31">
        <f t="shared" si="21"/>
        <v>713919.82</v>
      </c>
      <c r="J351" s="16">
        <f t="shared" si="22"/>
        <v>654426.50166666659</v>
      </c>
      <c r="K351">
        <v>12</v>
      </c>
      <c r="L351" s="16">
        <f t="shared" si="23"/>
        <v>78531.180200000003</v>
      </c>
      <c r="M351">
        <v>0</v>
      </c>
      <c r="N351" s="16">
        <f t="shared" si="24"/>
        <v>0</v>
      </c>
    </row>
    <row r="352" spans="1:14" x14ac:dyDescent="0.25">
      <c r="A352" s="29">
        <v>22</v>
      </c>
      <c r="B352" t="s">
        <v>28</v>
      </c>
      <c r="C352" s="1" t="s">
        <v>29</v>
      </c>
      <c r="D352" t="s">
        <v>1274</v>
      </c>
      <c r="E352" t="s">
        <v>569</v>
      </c>
      <c r="F352" s="31">
        <v>3680</v>
      </c>
      <c r="G352" s="17">
        <v>100</v>
      </c>
      <c r="H352" s="31">
        <v>11039.64</v>
      </c>
      <c r="I352" s="31">
        <f t="shared" si="21"/>
        <v>356960.36</v>
      </c>
      <c r="J352" s="16">
        <f t="shared" si="22"/>
        <v>327213.66333333333</v>
      </c>
      <c r="K352">
        <v>12</v>
      </c>
      <c r="L352" s="16">
        <f t="shared" si="23"/>
        <v>39265.639600000002</v>
      </c>
      <c r="M352">
        <v>0</v>
      </c>
      <c r="N352" s="16">
        <f t="shared" si="24"/>
        <v>0</v>
      </c>
    </row>
    <row r="353" spans="1:14" x14ac:dyDescent="0.25">
      <c r="A353" s="29">
        <v>22</v>
      </c>
      <c r="B353" t="s">
        <v>28</v>
      </c>
      <c r="C353" s="1" t="s">
        <v>29</v>
      </c>
      <c r="D353" t="s">
        <v>1256</v>
      </c>
      <c r="E353" t="s">
        <v>569</v>
      </c>
      <c r="F353" s="31">
        <v>3680</v>
      </c>
      <c r="G353" s="17">
        <v>100</v>
      </c>
      <c r="H353" s="31">
        <v>11039.64</v>
      </c>
      <c r="I353" s="31">
        <f t="shared" si="21"/>
        <v>356960.36</v>
      </c>
      <c r="J353" s="16">
        <f t="shared" si="22"/>
        <v>327213.66333333333</v>
      </c>
      <c r="K353">
        <v>12</v>
      </c>
      <c r="L353" s="16">
        <f t="shared" si="23"/>
        <v>39265.639600000002</v>
      </c>
      <c r="M353">
        <v>0</v>
      </c>
      <c r="N353" s="16">
        <f t="shared" si="24"/>
        <v>0</v>
      </c>
    </row>
    <row r="354" spans="1:14" x14ac:dyDescent="0.25">
      <c r="A354" s="29">
        <v>23</v>
      </c>
      <c r="B354" t="s">
        <v>28</v>
      </c>
      <c r="C354" s="1" t="s">
        <v>29</v>
      </c>
      <c r="D354" t="s">
        <v>1238</v>
      </c>
      <c r="E354" t="s">
        <v>569</v>
      </c>
      <c r="F354" s="31">
        <v>956.17</v>
      </c>
      <c r="G354" s="17">
        <v>1250</v>
      </c>
      <c r="H354" s="31">
        <v>59043.25</v>
      </c>
      <c r="I354" s="31">
        <f t="shared" si="21"/>
        <v>1136169.25</v>
      </c>
      <c r="J354" s="16">
        <f t="shared" si="22"/>
        <v>1041488.4791666666</v>
      </c>
      <c r="K354">
        <v>12</v>
      </c>
      <c r="L354" s="16">
        <f t="shared" si="23"/>
        <v>124978.61749999999</v>
      </c>
      <c r="M354">
        <v>0</v>
      </c>
      <c r="N354" s="16">
        <f t="shared" si="24"/>
        <v>0</v>
      </c>
    </row>
    <row r="355" spans="1:14" x14ac:dyDescent="0.25">
      <c r="A355" s="29">
        <v>23</v>
      </c>
      <c r="B355" t="s">
        <v>28</v>
      </c>
      <c r="C355" s="1" t="s">
        <v>29</v>
      </c>
      <c r="D355" t="s">
        <v>1262</v>
      </c>
      <c r="E355" t="s">
        <v>569</v>
      </c>
      <c r="F355" s="31">
        <v>956.17</v>
      </c>
      <c r="G355" s="17">
        <v>1250</v>
      </c>
      <c r="H355" s="31">
        <v>59043.25</v>
      </c>
      <c r="I355" s="31">
        <f t="shared" si="21"/>
        <v>1136169.25</v>
      </c>
      <c r="J355" s="16">
        <f t="shared" si="22"/>
        <v>1041488.4791666666</v>
      </c>
      <c r="K355">
        <v>12</v>
      </c>
      <c r="L355" s="16">
        <f t="shared" si="23"/>
        <v>124978.61749999999</v>
      </c>
      <c r="M355">
        <v>0</v>
      </c>
      <c r="N355" s="16">
        <f t="shared" si="24"/>
        <v>0</v>
      </c>
    </row>
    <row r="356" spans="1:14" x14ac:dyDescent="0.25">
      <c r="A356" s="29">
        <v>23</v>
      </c>
      <c r="B356" t="s">
        <v>28</v>
      </c>
      <c r="C356" s="1" t="s">
        <v>29</v>
      </c>
      <c r="D356" t="s">
        <v>1239</v>
      </c>
      <c r="E356" t="s">
        <v>569</v>
      </c>
      <c r="F356" s="31">
        <v>956.17</v>
      </c>
      <c r="G356" s="17">
        <v>500</v>
      </c>
      <c r="H356" s="31">
        <v>23618.010000000002</v>
      </c>
      <c r="I356" s="31">
        <f t="shared" si="21"/>
        <v>454466.99</v>
      </c>
      <c r="J356" s="16">
        <f t="shared" si="22"/>
        <v>416594.74083333329</v>
      </c>
      <c r="K356">
        <v>12</v>
      </c>
      <c r="L356" s="16">
        <f t="shared" si="23"/>
        <v>49991.368899999994</v>
      </c>
      <c r="M356">
        <v>0</v>
      </c>
      <c r="N356" s="16">
        <f t="shared" si="24"/>
        <v>0</v>
      </c>
    </row>
    <row r="357" spans="1:14" x14ac:dyDescent="0.25">
      <c r="A357" s="29">
        <v>23</v>
      </c>
      <c r="B357" t="s">
        <v>28</v>
      </c>
      <c r="C357" s="1" t="s">
        <v>29</v>
      </c>
      <c r="D357" t="s">
        <v>1377</v>
      </c>
      <c r="E357" t="s">
        <v>569</v>
      </c>
      <c r="F357" s="31">
        <v>956.17</v>
      </c>
      <c r="G357" s="17">
        <v>750</v>
      </c>
      <c r="H357" s="31">
        <v>35426.119999999995</v>
      </c>
      <c r="I357" s="31">
        <f t="shared" si="21"/>
        <v>681701.38</v>
      </c>
      <c r="J357" s="16">
        <f t="shared" si="22"/>
        <v>624892.93166666664</v>
      </c>
      <c r="K357">
        <v>12</v>
      </c>
      <c r="L357" s="16">
        <f t="shared" si="23"/>
        <v>74987.151799999992</v>
      </c>
      <c r="M357">
        <v>0</v>
      </c>
      <c r="N357" s="16">
        <f t="shared" si="24"/>
        <v>0</v>
      </c>
    </row>
    <row r="358" spans="1:14" x14ac:dyDescent="0.25">
      <c r="A358" s="29">
        <v>23</v>
      </c>
      <c r="B358" t="s">
        <v>28</v>
      </c>
      <c r="C358" s="1" t="s">
        <v>29</v>
      </c>
      <c r="D358" t="s">
        <v>1242</v>
      </c>
      <c r="E358" t="s">
        <v>569</v>
      </c>
      <c r="F358" s="31">
        <v>956.17</v>
      </c>
      <c r="G358" s="17">
        <v>500</v>
      </c>
      <c r="H358" s="31">
        <v>23618.010000000002</v>
      </c>
      <c r="I358" s="31">
        <f t="shared" si="21"/>
        <v>454466.99</v>
      </c>
      <c r="J358" s="16">
        <f t="shared" si="22"/>
        <v>416594.74083333329</v>
      </c>
      <c r="K358">
        <v>12</v>
      </c>
      <c r="L358" s="16">
        <f t="shared" si="23"/>
        <v>49991.368899999994</v>
      </c>
      <c r="M358">
        <v>0</v>
      </c>
      <c r="N358" s="16">
        <f t="shared" si="24"/>
        <v>0</v>
      </c>
    </row>
    <row r="359" spans="1:14" x14ac:dyDescent="0.25">
      <c r="A359" s="29">
        <v>23</v>
      </c>
      <c r="B359" t="s">
        <v>28</v>
      </c>
      <c r="C359" s="1" t="s">
        <v>29</v>
      </c>
      <c r="D359" t="s">
        <v>1244</v>
      </c>
      <c r="E359" t="s">
        <v>569</v>
      </c>
      <c r="F359" s="31">
        <v>956.17</v>
      </c>
      <c r="G359" s="17">
        <v>1250</v>
      </c>
      <c r="H359" s="31">
        <v>59043.25</v>
      </c>
      <c r="I359" s="31">
        <f t="shared" si="21"/>
        <v>1136169.25</v>
      </c>
      <c r="J359" s="16">
        <f t="shared" si="22"/>
        <v>1041488.4791666666</v>
      </c>
      <c r="K359">
        <v>12</v>
      </c>
      <c r="L359" s="16">
        <f t="shared" si="23"/>
        <v>124978.61749999999</v>
      </c>
      <c r="M359">
        <v>0</v>
      </c>
      <c r="N359" s="16">
        <f t="shared" si="24"/>
        <v>0</v>
      </c>
    </row>
    <row r="360" spans="1:14" x14ac:dyDescent="0.25">
      <c r="A360" s="29">
        <v>23</v>
      </c>
      <c r="B360" t="s">
        <v>28</v>
      </c>
      <c r="C360" s="1" t="s">
        <v>29</v>
      </c>
      <c r="D360" t="s">
        <v>1246</v>
      </c>
      <c r="E360" t="s">
        <v>569</v>
      </c>
      <c r="F360" s="31">
        <v>956.17</v>
      </c>
      <c r="G360" s="17">
        <v>250</v>
      </c>
      <c r="H360" s="31">
        <v>11808.11</v>
      </c>
      <c r="I360" s="31">
        <f t="shared" si="21"/>
        <v>227234.39</v>
      </c>
      <c r="J360" s="16">
        <f t="shared" si="22"/>
        <v>208298.19083333333</v>
      </c>
      <c r="K360">
        <v>12</v>
      </c>
      <c r="L360" s="16">
        <f t="shared" si="23"/>
        <v>24995.782900000002</v>
      </c>
      <c r="M360">
        <v>0</v>
      </c>
      <c r="N360" s="16">
        <f t="shared" si="24"/>
        <v>0</v>
      </c>
    </row>
    <row r="361" spans="1:14" x14ac:dyDescent="0.25">
      <c r="A361" s="29">
        <v>23</v>
      </c>
      <c r="B361" t="s">
        <v>28</v>
      </c>
      <c r="C361" s="1" t="s">
        <v>29</v>
      </c>
      <c r="D361" t="s">
        <v>1298</v>
      </c>
      <c r="E361" t="s">
        <v>569</v>
      </c>
      <c r="F361" s="31">
        <v>270.49</v>
      </c>
      <c r="G361" s="17">
        <v>3600</v>
      </c>
      <c r="H361" s="31">
        <v>48103.600000000006</v>
      </c>
      <c r="I361" s="31">
        <f t="shared" si="21"/>
        <v>925660.4</v>
      </c>
      <c r="J361" s="16">
        <f t="shared" si="22"/>
        <v>848522.03333333333</v>
      </c>
      <c r="K361">
        <v>12</v>
      </c>
      <c r="L361" s="16">
        <f t="shared" si="23"/>
        <v>101822.644</v>
      </c>
      <c r="M361">
        <v>0</v>
      </c>
      <c r="N361" s="16">
        <f t="shared" si="24"/>
        <v>0</v>
      </c>
    </row>
    <row r="362" spans="1:14" x14ac:dyDescent="0.25">
      <c r="A362" s="29">
        <v>23</v>
      </c>
      <c r="B362" t="s">
        <v>28</v>
      </c>
      <c r="C362" s="1" t="s">
        <v>29</v>
      </c>
      <c r="D362" t="s">
        <v>1299</v>
      </c>
      <c r="E362" t="s">
        <v>569</v>
      </c>
      <c r="F362" s="31">
        <v>270.49</v>
      </c>
      <c r="G362" s="17">
        <v>6480</v>
      </c>
      <c r="H362" s="31">
        <v>86585.579999999987</v>
      </c>
      <c r="I362" s="31">
        <f t="shared" si="21"/>
        <v>1666189.6199999999</v>
      </c>
      <c r="J362" s="16">
        <f t="shared" si="22"/>
        <v>1527340.4849999999</v>
      </c>
      <c r="K362">
        <v>12</v>
      </c>
      <c r="L362" s="16">
        <f t="shared" si="23"/>
        <v>183280.85820000002</v>
      </c>
      <c r="M362">
        <v>0</v>
      </c>
      <c r="N362" s="16">
        <f t="shared" si="24"/>
        <v>0</v>
      </c>
    </row>
    <row r="363" spans="1:14" x14ac:dyDescent="0.25">
      <c r="A363" s="29">
        <v>23</v>
      </c>
      <c r="B363" t="s">
        <v>28</v>
      </c>
      <c r="C363" s="1" t="s">
        <v>29</v>
      </c>
      <c r="D363" t="s">
        <v>1378</v>
      </c>
      <c r="E363" t="s">
        <v>569</v>
      </c>
      <c r="F363" s="31">
        <v>270.49</v>
      </c>
      <c r="G363" s="17">
        <v>2160</v>
      </c>
      <c r="H363" s="31">
        <v>28862.16</v>
      </c>
      <c r="I363" s="31">
        <f t="shared" si="21"/>
        <v>555396.24</v>
      </c>
      <c r="J363" s="16">
        <f t="shared" si="22"/>
        <v>509113.22</v>
      </c>
      <c r="K363">
        <v>12</v>
      </c>
      <c r="L363" s="16">
        <f t="shared" si="23"/>
        <v>61093.5864</v>
      </c>
      <c r="M363">
        <v>0</v>
      </c>
      <c r="N363" s="16">
        <f t="shared" si="24"/>
        <v>0</v>
      </c>
    </row>
    <row r="364" spans="1:14" x14ac:dyDescent="0.25">
      <c r="A364" s="29">
        <v>23</v>
      </c>
      <c r="B364" t="s">
        <v>28</v>
      </c>
      <c r="C364" s="1" t="s">
        <v>29</v>
      </c>
      <c r="D364" t="s">
        <v>1379</v>
      </c>
      <c r="E364" t="s">
        <v>569</v>
      </c>
      <c r="F364" s="31">
        <v>257.52</v>
      </c>
      <c r="G364" s="17">
        <v>36000</v>
      </c>
      <c r="H364" s="31">
        <v>457978.37</v>
      </c>
      <c r="I364" s="31">
        <f t="shared" si="21"/>
        <v>8812741.6300000008</v>
      </c>
      <c r="J364" s="16">
        <f t="shared" si="22"/>
        <v>8078346.4941666666</v>
      </c>
      <c r="K364">
        <v>12</v>
      </c>
      <c r="L364" s="16">
        <f t="shared" si="23"/>
        <v>969401.5793000001</v>
      </c>
      <c r="M364">
        <v>0</v>
      </c>
      <c r="N364" s="16">
        <f t="shared" si="24"/>
        <v>0</v>
      </c>
    </row>
    <row r="365" spans="1:14" x14ac:dyDescent="0.25">
      <c r="A365" s="29">
        <v>23</v>
      </c>
      <c r="B365" t="s">
        <v>28</v>
      </c>
      <c r="C365" s="1" t="s">
        <v>29</v>
      </c>
      <c r="D365" t="s">
        <v>1263</v>
      </c>
      <c r="E365" t="s">
        <v>569</v>
      </c>
      <c r="F365" s="31">
        <v>257.52</v>
      </c>
      <c r="G365" s="17">
        <v>7200</v>
      </c>
      <c r="H365" s="31">
        <v>91596.4</v>
      </c>
      <c r="I365" s="31">
        <f t="shared" si="21"/>
        <v>1762547.5999999999</v>
      </c>
      <c r="J365" s="16">
        <f t="shared" si="22"/>
        <v>1615668.6333333331</v>
      </c>
      <c r="K365">
        <v>12</v>
      </c>
      <c r="L365" s="16">
        <f t="shared" si="23"/>
        <v>193880.23599999998</v>
      </c>
      <c r="M365">
        <v>0</v>
      </c>
      <c r="N365" s="16">
        <f t="shared" si="24"/>
        <v>0</v>
      </c>
    </row>
    <row r="366" spans="1:14" x14ac:dyDescent="0.25">
      <c r="A366" s="29">
        <v>23</v>
      </c>
      <c r="B366" t="s">
        <v>28</v>
      </c>
      <c r="C366" s="1" t="s">
        <v>29</v>
      </c>
      <c r="D366" t="s">
        <v>1266</v>
      </c>
      <c r="E366" t="s">
        <v>569</v>
      </c>
      <c r="F366" s="31">
        <v>257.52</v>
      </c>
      <c r="G366" s="17">
        <v>7200</v>
      </c>
      <c r="H366" s="31">
        <v>91596.4</v>
      </c>
      <c r="I366" s="31">
        <f t="shared" si="21"/>
        <v>1762547.5999999999</v>
      </c>
      <c r="J366" s="16">
        <f t="shared" si="22"/>
        <v>1615668.6333333331</v>
      </c>
      <c r="K366">
        <v>12</v>
      </c>
      <c r="L366" s="16">
        <f t="shared" si="23"/>
        <v>193880.23599999998</v>
      </c>
      <c r="M366">
        <v>0</v>
      </c>
      <c r="N366" s="16">
        <f t="shared" si="24"/>
        <v>0</v>
      </c>
    </row>
    <row r="367" spans="1:14" x14ac:dyDescent="0.25">
      <c r="A367" s="29">
        <v>23</v>
      </c>
      <c r="B367" t="s">
        <v>28</v>
      </c>
      <c r="C367" s="1" t="s">
        <v>29</v>
      </c>
      <c r="D367" t="s">
        <v>1302</v>
      </c>
      <c r="E367" t="s">
        <v>569</v>
      </c>
      <c r="F367" s="31">
        <v>257.52</v>
      </c>
      <c r="G367" s="17">
        <v>7200</v>
      </c>
      <c r="H367" s="31">
        <v>91596.4</v>
      </c>
      <c r="I367" s="31">
        <f t="shared" si="21"/>
        <v>1762547.5999999999</v>
      </c>
      <c r="J367" s="16">
        <f t="shared" si="22"/>
        <v>1615668.6333333331</v>
      </c>
      <c r="K367">
        <v>12</v>
      </c>
      <c r="L367" s="16">
        <f t="shared" si="23"/>
        <v>193880.23599999998</v>
      </c>
      <c r="M367">
        <v>0</v>
      </c>
      <c r="N367" s="16">
        <f t="shared" si="24"/>
        <v>0</v>
      </c>
    </row>
    <row r="368" spans="1:14" x14ac:dyDescent="0.25">
      <c r="A368" s="29">
        <v>23</v>
      </c>
      <c r="B368" t="s">
        <v>28</v>
      </c>
      <c r="C368" s="1" t="s">
        <v>29</v>
      </c>
      <c r="D368" t="s">
        <v>1250</v>
      </c>
      <c r="E368" t="s">
        <v>569</v>
      </c>
      <c r="F368" s="31">
        <v>956.17</v>
      </c>
      <c r="G368" s="17">
        <v>1250</v>
      </c>
      <c r="H368" s="31">
        <v>59043.25</v>
      </c>
      <c r="I368" s="31">
        <f t="shared" si="21"/>
        <v>1136169.25</v>
      </c>
      <c r="J368" s="16">
        <f t="shared" si="22"/>
        <v>1041488.4791666666</v>
      </c>
      <c r="K368">
        <v>12</v>
      </c>
      <c r="L368" s="16">
        <f t="shared" si="23"/>
        <v>124978.61749999999</v>
      </c>
      <c r="M368">
        <v>0</v>
      </c>
      <c r="N368" s="16">
        <f t="shared" si="24"/>
        <v>0</v>
      </c>
    </row>
    <row r="369" spans="1:14" x14ac:dyDescent="0.25">
      <c r="A369" s="29">
        <v>23</v>
      </c>
      <c r="B369" t="s">
        <v>28</v>
      </c>
      <c r="C369" s="1" t="s">
        <v>29</v>
      </c>
      <c r="D369" t="s">
        <v>1380</v>
      </c>
      <c r="E369" t="s">
        <v>569</v>
      </c>
      <c r="F369" s="31">
        <v>956.17</v>
      </c>
      <c r="G369" s="17">
        <v>250</v>
      </c>
      <c r="H369" s="31">
        <v>11808.11</v>
      </c>
      <c r="I369" s="31">
        <f t="shared" si="21"/>
        <v>227234.39</v>
      </c>
      <c r="J369" s="16">
        <f t="shared" si="22"/>
        <v>208298.19083333333</v>
      </c>
      <c r="K369">
        <v>12</v>
      </c>
      <c r="L369" s="16">
        <f t="shared" si="23"/>
        <v>24995.782900000002</v>
      </c>
      <c r="M369">
        <v>0</v>
      </c>
      <c r="N369" s="16">
        <f t="shared" si="24"/>
        <v>0</v>
      </c>
    </row>
    <row r="370" spans="1:14" x14ac:dyDescent="0.25">
      <c r="A370" s="29">
        <v>23</v>
      </c>
      <c r="B370" t="s">
        <v>28</v>
      </c>
      <c r="C370" s="1" t="s">
        <v>29</v>
      </c>
      <c r="D370" t="s">
        <v>1381</v>
      </c>
      <c r="E370" t="s">
        <v>569</v>
      </c>
      <c r="F370" s="31">
        <v>956.17</v>
      </c>
      <c r="G370" s="17">
        <v>250</v>
      </c>
      <c r="H370" s="31">
        <v>11808.11</v>
      </c>
      <c r="I370" s="31">
        <f t="shared" si="21"/>
        <v>227234.39</v>
      </c>
      <c r="J370" s="16">
        <f t="shared" si="22"/>
        <v>208298.19083333333</v>
      </c>
      <c r="K370">
        <v>12</v>
      </c>
      <c r="L370" s="16">
        <f t="shared" si="23"/>
        <v>24995.782900000002</v>
      </c>
      <c r="M370">
        <v>0</v>
      </c>
      <c r="N370" s="16">
        <f t="shared" si="24"/>
        <v>0</v>
      </c>
    </row>
    <row r="371" spans="1:14" x14ac:dyDescent="0.25">
      <c r="A371" s="29">
        <v>23</v>
      </c>
      <c r="B371" t="s">
        <v>28</v>
      </c>
      <c r="C371" s="1" t="s">
        <v>29</v>
      </c>
      <c r="D371" t="s">
        <v>1305</v>
      </c>
      <c r="E371" t="s">
        <v>569</v>
      </c>
      <c r="F371" s="31">
        <v>956.17</v>
      </c>
      <c r="G371" s="17">
        <v>1250</v>
      </c>
      <c r="H371" s="31">
        <v>59043.25</v>
      </c>
      <c r="I371" s="31">
        <f t="shared" si="21"/>
        <v>1136169.25</v>
      </c>
      <c r="J371" s="16">
        <f t="shared" si="22"/>
        <v>1041488.4791666666</v>
      </c>
      <c r="K371">
        <v>12</v>
      </c>
      <c r="L371" s="16">
        <f t="shared" si="23"/>
        <v>124978.61749999999</v>
      </c>
      <c r="M371">
        <v>0</v>
      </c>
      <c r="N371" s="16">
        <f t="shared" si="24"/>
        <v>0</v>
      </c>
    </row>
    <row r="372" spans="1:14" x14ac:dyDescent="0.25">
      <c r="A372" s="29">
        <v>23</v>
      </c>
      <c r="B372" t="s">
        <v>28</v>
      </c>
      <c r="C372" s="1" t="s">
        <v>29</v>
      </c>
      <c r="D372" t="s">
        <v>1254</v>
      </c>
      <c r="E372" t="s">
        <v>569</v>
      </c>
      <c r="F372" s="31">
        <v>270.49</v>
      </c>
      <c r="G372" s="17">
        <v>3600</v>
      </c>
      <c r="H372" s="31">
        <v>48103.600000000006</v>
      </c>
      <c r="I372" s="31">
        <f t="shared" si="21"/>
        <v>925660.4</v>
      </c>
      <c r="J372" s="16">
        <f t="shared" si="22"/>
        <v>848522.03333333333</v>
      </c>
      <c r="K372">
        <v>12</v>
      </c>
      <c r="L372" s="16">
        <f t="shared" si="23"/>
        <v>101822.644</v>
      </c>
      <c r="M372">
        <v>0</v>
      </c>
      <c r="N372" s="16">
        <f t="shared" si="24"/>
        <v>0</v>
      </c>
    </row>
    <row r="373" spans="1:14" x14ac:dyDescent="0.25">
      <c r="A373" s="29">
        <v>23</v>
      </c>
      <c r="B373" t="s">
        <v>28</v>
      </c>
      <c r="C373" s="1" t="s">
        <v>29</v>
      </c>
      <c r="D373" t="s">
        <v>1359</v>
      </c>
      <c r="E373" t="s">
        <v>569</v>
      </c>
      <c r="F373" s="31">
        <v>270.49</v>
      </c>
      <c r="G373" s="17">
        <v>2160</v>
      </c>
      <c r="H373" s="31">
        <v>28862.16</v>
      </c>
      <c r="I373" s="31">
        <f t="shared" si="21"/>
        <v>555396.24</v>
      </c>
      <c r="J373" s="16">
        <f t="shared" si="22"/>
        <v>509113.22</v>
      </c>
      <c r="K373">
        <v>12</v>
      </c>
      <c r="L373" s="16">
        <f t="shared" si="23"/>
        <v>61093.5864</v>
      </c>
      <c r="M373">
        <v>0</v>
      </c>
      <c r="N373" s="16">
        <f t="shared" si="24"/>
        <v>0</v>
      </c>
    </row>
    <row r="374" spans="1:14" x14ac:dyDescent="0.25">
      <c r="A374" s="29">
        <v>24</v>
      </c>
      <c r="B374" t="s">
        <v>28</v>
      </c>
      <c r="C374" s="1" t="s">
        <v>29</v>
      </c>
      <c r="D374" t="s">
        <v>1382</v>
      </c>
      <c r="E374" t="s">
        <v>569</v>
      </c>
      <c r="F374" s="31">
        <v>61531.53</v>
      </c>
      <c r="G374" s="17">
        <v>12</v>
      </c>
      <c r="H374" s="31">
        <v>139458.56</v>
      </c>
      <c r="I374" s="31">
        <f t="shared" si="21"/>
        <v>598919.80000000005</v>
      </c>
      <c r="J374" s="16">
        <f t="shared" si="22"/>
        <v>549009.81666666665</v>
      </c>
      <c r="K374">
        <v>12</v>
      </c>
      <c r="L374" s="16">
        <f t="shared" si="23"/>
        <v>65881.178</v>
      </c>
      <c r="M374">
        <v>0</v>
      </c>
      <c r="N374" s="16">
        <f t="shared" si="24"/>
        <v>0</v>
      </c>
    </row>
    <row r="375" spans="1:14" x14ac:dyDescent="0.25">
      <c r="A375" s="29">
        <v>24</v>
      </c>
      <c r="B375" t="s">
        <v>28</v>
      </c>
      <c r="C375" s="1" t="s">
        <v>29</v>
      </c>
      <c r="D375" t="s">
        <v>1336</v>
      </c>
      <c r="E375" t="s">
        <v>569</v>
      </c>
      <c r="F375" s="31">
        <v>299099.09999999998</v>
      </c>
      <c r="G375" s="17">
        <v>6</v>
      </c>
      <c r="H375" s="31">
        <v>340541.44</v>
      </c>
      <c r="I375" s="31">
        <f t="shared" si="21"/>
        <v>1454053.16</v>
      </c>
      <c r="J375" s="16">
        <f t="shared" si="22"/>
        <v>1332882.0633333332</v>
      </c>
      <c r="K375">
        <v>12</v>
      </c>
      <c r="L375" s="16">
        <f t="shared" si="23"/>
        <v>159945.84759999998</v>
      </c>
      <c r="M375">
        <v>0</v>
      </c>
      <c r="N375" s="16">
        <f t="shared" si="24"/>
        <v>0</v>
      </c>
    </row>
    <row r="376" spans="1:14" x14ac:dyDescent="0.25">
      <c r="A376" s="29">
        <v>24</v>
      </c>
      <c r="B376" t="s">
        <v>28</v>
      </c>
      <c r="C376" s="1" t="s">
        <v>29</v>
      </c>
      <c r="D376" t="s">
        <v>1328</v>
      </c>
      <c r="E376" t="s">
        <v>569</v>
      </c>
      <c r="F376" s="31">
        <v>301981.98</v>
      </c>
      <c r="G376" s="17">
        <v>12</v>
      </c>
      <c r="H376" s="31">
        <v>622702.69999999995</v>
      </c>
      <c r="I376" s="31">
        <f t="shared" si="21"/>
        <v>3001081.0599999996</v>
      </c>
      <c r="J376" s="16">
        <f t="shared" si="22"/>
        <v>2750990.9716666662</v>
      </c>
      <c r="K376">
        <v>12</v>
      </c>
      <c r="L376" s="16">
        <f t="shared" si="23"/>
        <v>330118.91659999994</v>
      </c>
      <c r="M376">
        <v>0</v>
      </c>
      <c r="N376" s="16">
        <f t="shared" si="24"/>
        <v>0</v>
      </c>
    </row>
    <row r="377" spans="1:14" x14ac:dyDescent="0.25">
      <c r="A377" s="29">
        <v>25</v>
      </c>
      <c r="B377" t="s">
        <v>28</v>
      </c>
      <c r="C377" s="1" t="s">
        <v>29</v>
      </c>
      <c r="D377" t="s">
        <v>1314</v>
      </c>
      <c r="E377" t="s">
        <v>569</v>
      </c>
      <c r="F377" s="31">
        <v>956.17</v>
      </c>
      <c r="G377" s="17">
        <v>12500</v>
      </c>
      <c r="H377" s="31">
        <v>474500</v>
      </c>
      <c r="I377" s="31">
        <f t="shared" si="21"/>
        <v>11477625</v>
      </c>
      <c r="J377" s="16">
        <f t="shared" si="22"/>
        <v>10521156.25</v>
      </c>
      <c r="K377">
        <v>12</v>
      </c>
      <c r="L377" s="16">
        <f t="shared" si="23"/>
        <v>1262538.75</v>
      </c>
      <c r="M377">
        <v>0</v>
      </c>
      <c r="N377" s="16">
        <f t="shared" si="24"/>
        <v>0</v>
      </c>
    </row>
    <row r="378" spans="1:14" x14ac:dyDescent="0.25">
      <c r="A378" s="29">
        <v>25</v>
      </c>
      <c r="B378" t="s">
        <v>28</v>
      </c>
      <c r="C378" s="1" t="s">
        <v>29</v>
      </c>
      <c r="D378" t="s">
        <v>1262</v>
      </c>
      <c r="E378" t="s">
        <v>569</v>
      </c>
      <c r="F378" s="31">
        <v>956.17</v>
      </c>
      <c r="G378" s="17">
        <v>12500</v>
      </c>
      <c r="H378" s="31">
        <v>474500</v>
      </c>
      <c r="I378" s="31">
        <f t="shared" si="21"/>
        <v>11477625</v>
      </c>
      <c r="J378" s="16">
        <f t="shared" si="22"/>
        <v>10521156.25</v>
      </c>
      <c r="K378">
        <v>12</v>
      </c>
      <c r="L378" s="16">
        <f t="shared" si="23"/>
        <v>1262538.75</v>
      </c>
      <c r="M378">
        <v>0</v>
      </c>
      <c r="N378" s="16">
        <f t="shared" si="24"/>
        <v>0</v>
      </c>
    </row>
    <row r="379" spans="1:14" x14ac:dyDescent="0.25">
      <c r="A379" s="29">
        <v>25</v>
      </c>
      <c r="B379" t="s">
        <v>28</v>
      </c>
      <c r="C379" s="1" t="s">
        <v>29</v>
      </c>
      <c r="D379" t="s">
        <v>1239</v>
      </c>
      <c r="E379" t="s">
        <v>569</v>
      </c>
      <c r="F379" s="31">
        <v>956.17</v>
      </c>
      <c r="G379" s="17">
        <v>6250</v>
      </c>
      <c r="H379" s="31">
        <v>237249.55000000002</v>
      </c>
      <c r="I379" s="31">
        <f t="shared" si="21"/>
        <v>5738812.9500000002</v>
      </c>
      <c r="J379" s="16">
        <f t="shared" si="22"/>
        <v>5260578.5374999996</v>
      </c>
      <c r="K379">
        <v>12</v>
      </c>
      <c r="L379" s="16">
        <f t="shared" si="23"/>
        <v>631269.42449999996</v>
      </c>
      <c r="M379">
        <v>0</v>
      </c>
      <c r="N379" s="16">
        <f t="shared" si="24"/>
        <v>0</v>
      </c>
    </row>
    <row r="380" spans="1:14" x14ac:dyDescent="0.25">
      <c r="A380" s="29">
        <v>25</v>
      </c>
      <c r="B380" t="s">
        <v>28</v>
      </c>
      <c r="C380" s="1" t="s">
        <v>29</v>
      </c>
      <c r="D380" t="s">
        <v>1240</v>
      </c>
      <c r="E380" t="s">
        <v>569</v>
      </c>
      <c r="F380" s="31">
        <v>956.17</v>
      </c>
      <c r="G380" s="17">
        <v>3750</v>
      </c>
      <c r="H380" s="31">
        <v>142350.45000000001</v>
      </c>
      <c r="I380" s="31">
        <f t="shared" si="21"/>
        <v>3443287.05</v>
      </c>
      <c r="J380" s="16">
        <f t="shared" si="22"/>
        <v>3156346.4624999999</v>
      </c>
      <c r="K380">
        <v>12</v>
      </c>
      <c r="L380" s="16">
        <f t="shared" si="23"/>
        <v>378761.57549999998</v>
      </c>
      <c r="M380">
        <v>0</v>
      </c>
      <c r="N380" s="16">
        <f t="shared" si="24"/>
        <v>0</v>
      </c>
    </row>
    <row r="381" spans="1:14" x14ac:dyDescent="0.25">
      <c r="A381" s="29">
        <v>25</v>
      </c>
      <c r="B381" t="s">
        <v>28</v>
      </c>
      <c r="C381" s="1" t="s">
        <v>29</v>
      </c>
      <c r="D381" t="s">
        <v>1242</v>
      </c>
      <c r="E381" t="s">
        <v>569</v>
      </c>
      <c r="F381" s="31">
        <v>956.17</v>
      </c>
      <c r="G381" s="17">
        <v>15000</v>
      </c>
      <c r="H381" s="31">
        <v>569400</v>
      </c>
      <c r="I381" s="31">
        <f t="shared" si="21"/>
        <v>13773150</v>
      </c>
      <c r="J381" s="16">
        <f t="shared" si="22"/>
        <v>12625387.5</v>
      </c>
      <c r="K381">
        <v>12</v>
      </c>
      <c r="L381" s="16">
        <f t="shared" si="23"/>
        <v>1515046.5</v>
      </c>
      <c r="M381">
        <v>0</v>
      </c>
      <c r="N381" s="16">
        <f t="shared" si="24"/>
        <v>0</v>
      </c>
    </row>
    <row r="382" spans="1:14" x14ac:dyDescent="0.25">
      <c r="A382" s="29">
        <v>25</v>
      </c>
      <c r="B382" t="s">
        <v>28</v>
      </c>
      <c r="C382" s="1" t="s">
        <v>29</v>
      </c>
      <c r="D382" t="s">
        <v>1243</v>
      </c>
      <c r="E382" t="s">
        <v>569</v>
      </c>
      <c r="F382" s="31">
        <v>956.17</v>
      </c>
      <c r="G382" s="17">
        <v>7500</v>
      </c>
      <c r="H382" s="31">
        <v>284700</v>
      </c>
      <c r="I382" s="31">
        <f t="shared" si="21"/>
        <v>6886575</v>
      </c>
      <c r="J382" s="16">
        <f t="shared" si="22"/>
        <v>6312693.75</v>
      </c>
      <c r="K382">
        <v>12</v>
      </c>
      <c r="L382" s="16">
        <f t="shared" si="23"/>
        <v>757523.25</v>
      </c>
      <c r="M382">
        <v>0</v>
      </c>
      <c r="N382" s="16">
        <f t="shared" si="24"/>
        <v>0</v>
      </c>
    </row>
    <row r="383" spans="1:14" x14ac:dyDescent="0.25">
      <c r="A383" s="29">
        <v>25</v>
      </c>
      <c r="B383" t="s">
        <v>28</v>
      </c>
      <c r="C383" s="1" t="s">
        <v>29</v>
      </c>
      <c r="D383" t="s">
        <v>1245</v>
      </c>
      <c r="E383" t="s">
        <v>569</v>
      </c>
      <c r="F383" s="31">
        <v>956.17</v>
      </c>
      <c r="G383" s="17">
        <v>12500</v>
      </c>
      <c r="H383" s="31">
        <v>474500</v>
      </c>
      <c r="I383" s="31">
        <f t="shared" si="21"/>
        <v>11477625</v>
      </c>
      <c r="J383" s="16">
        <f t="shared" si="22"/>
        <v>10521156.25</v>
      </c>
      <c r="K383">
        <v>12</v>
      </c>
      <c r="L383" s="16">
        <f t="shared" si="23"/>
        <v>1262538.75</v>
      </c>
      <c r="M383">
        <v>0</v>
      </c>
      <c r="N383" s="16">
        <f t="shared" si="24"/>
        <v>0</v>
      </c>
    </row>
    <row r="384" spans="1:14" x14ac:dyDescent="0.25">
      <c r="A384" s="29">
        <v>25</v>
      </c>
      <c r="B384" t="s">
        <v>28</v>
      </c>
      <c r="C384" s="1" t="s">
        <v>29</v>
      </c>
      <c r="D384" t="s">
        <v>1305</v>
      </c>
      <c r="E384" t="s">
        <v>569</v>
      </c>
      <c r="F384" s="31">
        <v>956.17</v>
      </c>
      <c r="G384" s="17">
        <v>22500</v>
      </c>
      <c r="H384" s="31">
        <v>854100</v>
      </c>
      <c r="I384" s="31">
        <f t="shared" si="21"/>
        <v>20659725</v>
      </c>
      <c r="J384" s="16">
        <f t="shared" si="22"/>
        <v>18938081.25</v>
      </c>
      <c r="K384">
        <v>12</v>
      </c>
      <c r="L384" s="16">
        <f t="shared" si="23"/>
        <v>2272569.75</v>
      </c>
      <c r="M384">
        <v>0</v>
      </c>
      <c r="N384" s="16">
        <f t="shared" si="24"/>
        <v>0</v>
      </c>
    </row>
    <row r="385" spans="1:14" x14ac:dyDescent="0.25">
      <c r="A385" s="29">
        <v>26</v>
      </c>
      <c r="B385" t="s">
        <v>28</v>
      </c>
      <c r="C385" s="1" t="s">
        <v>29</v>
      </c>
      <c r="D385" t="s">
        <v>1217</v>
      </c>
      <c r="E385" t="s">
        <v>569</v>
      </c>
      <c r="F385" s="31">
        <v>7411.11</v>
      </c>
      <c r="G385" s="17">
        <v>144</v>
      </c>
      <c r="H385" s="31">
        <v>32016.22</v>
      </c>
      <c r="I385" s="31">
        <f t="shared" si="21"/>
        <v>1035183.6199999999</v>
      </c>
      <c r="J385" s="16">
        <f t="shared" si="22"/>
        <v>948918.31833333324</v>
      </c>
      <c r="K385">
        <v>12</v>
      </c>
      <c r="L385" s="16">
        <f t="shared" si="23"/>
        <v>113870.19819999998</v>
      </c>
      <c r="M385">
        <v>0</v>
      </c>
      <c r="N385" s="16">
        <f t="shared" si="24"/>
        <v>0</v>
      </c>
    </row>
    <row r="386" spans="1:14" x14ac:dyDescent="0.25">
      <c r="A386" s="29">
        <v>26</v>
      </c>
      <c r="B386" t="s">
        <v>28</v>
      </c>
      <c r="C386" s="1" t="s">
        <v>29</v>
      </c>
      <c r="D386" t="s">
        <v>1218</v>
      </c>
      <c r="E386" t="s">
        <v>569</v>
      </c>
      <c r="F386" s="31">
        <v>7411.11</v>
      </c>
      <c r="G386" s="17">
        <v>360</v>
      </c>
      <c r="H386" s="31">
        <v>80039.64</v>
      </c>
      <c r="I386" s="31">
        <f t="shared" si="21"/>
        <v>2587959.96</v>
      </c>
      <c r="J386" s="16">
        <f t="shared" si="22"/>
        <v>2372296.63</v>
      </c>
      <c r="K386">
        <v>12</v>
      </c>
      <c r="L386" s="16">
        <f t="shared" si="23"/>
        <v>284675.5956</v>
      </c>
      <c r="M386">
        <v>0</v>
      </c>
      <c r="N386" s="16">
        <f t="shared" si="24"/>
        <v>0</v>
      </c>
    </row>
    <row r="387" spans="1:14" x14ac:dyDescent="0.25">
      <c r="A387" s="29">
        <v>26</v>
      </c>
      <c r="B387" t="s">
        <v>28</v>
      </c>
      <c r="C387" s="1" t="s">
        <v>29</v>
      </c>
      <c r="D387" t="s">
        <v>1219</v>
      </c>
      <c r="E387" t="s">
        <v>569</v>
      </c>
      <c r="F387" s="31">
        <v>7636.11</v>
      </c>
      <c r="G387" s="17">
        <v>144</v>
      </c>
      <c r="H387" s="31">
        <v>32988.29</v>
      </c>
      <c r="I387" s="31">
        <f t="shared" ref="I387:I450" si="25">G387*F387-H387</f>
        <v>1066611.5499999998</v>
      </c>
      <c r="J387" s="16">
        <f t="shared" ref="J387:J450" si="26">11/12*I387</f>
        <v>977727.25416666642</v>
      </c>
      <c r="K387">
        <v>12</v>
      </c>
      <c r="L387" s="16">
        <f t="shared" ref="L387:L450" si="27">J387*K387/100</f>
        <v>117327.27049999997</v>
      </c>
      <c r="M387">
        <v>0</v>
      </c>
      <c r="N387" s="16">
        <f t="shared" ref="N387:N450" si="28">M387*J387/100</f>
        <v>0</v>
      </c>
    </row>
    <row r="388" spans="1:14" x14ac:dyDescent="0.25">
      <c r="A388" s="29">
        <v>26</v>
      </c>
      <c r="B388" t="s">
        <v>28</v>
      </c>
      <c r="C388" s="1" t="s">
        <v>29</v>
      </c>
      <c r="D388" t="s">
        <v>1220</v>
      </c>
      <c r="E388" t="s">
        <v>569</v>
      </c>
      <c r="F388" s="31">
        <v>7411.11</v>
      </c>
      <c r="G388" s="17">
        <v>216</v>
      </c>
      <c r="H388" s="31">
        <v>48024.32</v>
      </c>
      <c r="I388" s="31">
        <f t="shared" si="25"/>
        <v>1552775.44</v>
      </c>
      <c r="J388" s="16">
        <f t="shared" si="26"/>
        <v>1423377.4866666666</v>
      </c>
      <c r="K388">
        <v>12</v>
      </c>
      <c r="L388" s="16">
        <f t="shared" si="27"/>
        <v>170805.2984</v>
      </c>
      <c r="M388">
        <v>0</v>
      </c>
      <c r="N388" s="16">
        <f t="shared" si="28"/>
        <v>0</v>
      </c>
    </row>
    <row r="389" spans="1:14" x14ac:dyDescent="0.25">
      <c r="A389" s="29">
        <v>26</v>
      </c>
      <c r="B389" t="s">
        <v>28</v>
      </c>
      <c r="C389" s="1" t="s">
        <v>29</v>
      </c>
      <c r="D389" t="s">
        <v>1228</v>
      </c>
      <c r="E389" t="s">
        <v>569</v>
      </c>
      <c r="F389" s="31">
        <v>7250.02</v>
      </c>
      <c r="G389" s="17">
        <v>25</v>
      </c>
      <c r="H389" s="31">
        <v>5437.84</v>
      </c>
      <c r="I389" s="31">
        <f t="shared" si="25"/>
        <v>175812.66</v>
      </c>
      <c r="J389" s="16">
        <f t="shared" si="26"/>
        <v>161161.60500000001</v>
      </c>
      <c r="K389">
        <v>12</v>
      </c>
      <c r="L389" s="16">
        <f t="shared" si="27"/>
        <v>19339.392600000003</v>
      </c>
      <c r="M389">
        <v>0</v>
      </c>
      <c r="N389" s="16">
        <f t="shared" si="28"/>
        <v>0</v>
      </c>
    </row>
    <row r="390" spans="1:14" x14ac:dyDescent="0.25">
      <c r="A390" s="29">
        <v>26</v>
      </c>
      <c r="B390" t="s">
        <v>28</v>
      </c>
      <c r="C390" s="1" t="s">
        <v>29</v>
      </c>
      <c r="D390" t="s">
        <v>1229</v>
      </c>
      <c r="E390" t="s">
        <v>569</v>
      </c>
      <c r="F390" s="31">
        <v>7250.02</v>
      </c>
      <c r="G390" s="17">
        <v>25</v>
      </c>
      <c r="H390" s="31">
        <v>5437.84</v>
      </c>
      <c r="I390" s="31">
        <f t="shared" si="25"/>
        <v>175812.66</v>
      </c>
      <c r="J390" s="16">
        <f t="shared" si="26"/>
        <v>161161.60500000001</v>
      </c>
      <c r="K390">
        <v>12</v>
      </c>
      <c r="L390" s="16">
        <f t="shared" si="27"/>
        <v>19339.392600000003</v>
      </c>
      <c r="M390">
        <v>0</v>
      </c>
      <c r="N390" s="16">
        <f t="shared" si="28"/>
        <v>0</v>
      </c>
    </row>
    <row r="391" spans="1:14" x14ac:dyDescent="0.25">
      <c r="A391" s="29">
        <v>26</v>
      </c>
      <c r="B391" t="s">
        <v>28</v>
      </c>
      <c r="C391" s="1" t="s">
        <v>29</v>
      </c>
      <c r="D391" t="s">
        <v>1230</v>
      </c>
      <c r="E391" t="s">
        <v>569</v>
      </c>
      <c r="F391" s="31">
        <v>7250</v>
      </c>
      <c r="G391" s="17">
        <v>10</v>
      </c>
      <c r="H391" s="31">
        <v>72500</v>
      </c>
      <c r="I391" s="31">
        <f t="shared" si="25"/>
        <v>0</v>
      </c>
      <c r="J391" s="16">
        <f t="shared" si="26"/>
        <v>0</v>
      </c>
      <c r="K391">
        <v>12</v>
      </c>
      <c r="L391" s="16">
        <f t="shared" si="27"/>
        <v>0</v>
      </c>
      <c r="M391">
        <v>0</v>
      </c>
      <c r="N391" s="16">
        <f t="shared" si="28"/>
        <v>0</v>
      </c>
    </row>
    <row r="392" spans="1:14" x14ac:dyDescent="0.25">
      <c r="A392" s="29">
        <v>27</v>
      </c>
      <c r="B392" t="s">
        <v>28</v>
      </c>
      <c r="C392" s="1" t="s">
        <v>29</v>
      </c>
      <c r="D392" t="s">
        <v>1312</v>
      </c>
      <c r="E392" t="s">
        <v>569</v>
      </c>
      <c r="F392" s="31">
        <v>281.39</v>
      </c>
      <c r="G392" s="17">
        <v>360</v>
      </c>
      <c r="H392" s="31">
        <v>1012.61</v>
      </c>
      <c r="I392" s="31">
        <f t="shared" si="25"/>
        <v>100287.79</v>
      </c>
      <c r="J392" s="16">
        <f t="shared" si="26"/>
        <v>91930.474166666652</v>
      </c>
      <c r="K392">
        <v>12</v>
      </c>
      <c r="L392" s="16">
        <f t="shared" si="27"/>
        <v>11031.6569</v>
      </c>
      <c r="M392">
        <v>0</v>
      </c>
      <c r="N392" s="16">
        <f t="shared" si="28"/>
        <v>0</v>
      </c>
    </row>
    <row r="393" spans="1:14" x14ac:dyDescent="0.25">
      <c r="A393" s="29">
        <v>27</v>
      </c>
      <c r="B393" t="s">
        <v>28</v>
      </c>
      <c r="C393" s="1" t="s">
        <v>29</v>
      </c>
      <c r="D393" t="s">
        <v>1296</v>
      </c>
      <c r="E393" t="s">
        <v>569</v>
      </c>
      <c r="F393" s="31">
        <v>281.39</v>
      </c>
      <c r="G393" s="17">
        <v>120</v>
      </c>
      <c r="H393" s="31">
        <v>337.84</v>
      </c>
      <c r="I393" s="31">
        <f t="shared" si="25"/>
        <v>33428.959999999999</v>
      </c>
      <c r="J393" s="16">
        <f t="shared" si="26"/>
        <v>30643.21333333333</v>
      </c>
      <c r="K393">
        <v>12</v>
      </c>
      <c r="L393" s="16">
        <f t="shared" si="27"/>
        <v>3677.1855999999993</v>
      </c>
      <c r="M393">
        <v>0</v>
      </c>
      <c r="N393" s="16">
        <f t="shared" si="28"/>
        <v>0</v>
      </c>
    </row>
    <row r="394" spans="1:14" x14ac:dyDescent="0.25">
      <c r="A394" s="29">
        <v>27</v>
      </c>
      <c r="B394" t="s">
        <v>28</v>
      </c>
      <c r="C394" s="1" t="s">
        <v>29</v>
      </c>
      <c r="D394" t="s">
        <v>1383</v>
      </c>
      <c r="E394" t="s">
        <v>569</v>
      </c>
      <c r="F394" s="31">
        <v>4612.6099999999997</v>
      </c>
      <c r="G394" s="17">
        <v>3</v>
      </c>
      <c r="H394" s="31">
        <v>137.84</v>
      </c>
      <c r="I394" s="31">
        <f t="shared" si="25"/>
        <v>13699.989999999998</v>
      </c>
      <c r="J394" s="16">
        <f t="shared" si="26"/>
        <v>12558.324166666664</v>
      </c>
      <c r="K394">
        <v>12</v>
      </c>
      <c r="L394" s="16">
        <f t="shared" si="27"/>
        <v>1506.9988999999996</v>
      </c>
      <c r="M394">
        <v>0</v>
      </c>
      <c r="N394" s="16">
        <f t="shared" si="28"/>
        <v>0</v>
      </c>
    </row>
    <row r="395" spans="1:14" x14ac:dyDescent="0.25">
      <c r="A395" s="29">
        <v>27</v>
      </c>
      <c r="B395" t="s">
        <v>28</v>
      </c>
      <c r="C395" s="1" t="s">
        <v>29</v>
      </c>
      <c r="D395" t="s">
        <v>1277</v>
      </c>
      <c r="E395" t="s">
        <v>569</v>
      </c>
      <c r="F395" s="31">
        <v>1503.11</v>
      </c>
      <c r="G395" s="17">
        <v>60</v>
      </c>
      <c r="H395" s="31">
        <v>901.8</v>
      </c>
      <c r="I395" s="31">
        <f t="shared" si="25"/>
        <v>89284.799999999988</v>
      </c>
      <c r="J395" s="16">
        <f t="shared" si="26"/>
        <v>81844.39999999998</v>
      </c>
      <c r="K395">
        <v>12</v>
      </c>
      <c r="L395" s="16">
        <f t="shared" si="27"/>
        <v>9821.3279999999977</v>
      </c>
      <c r="M395">
        <v>0</v>
      </c>
      <c r="N395" s="16">
        <f t="shared" si="28"/>
        <v>0</v>
      </c>
    </row>
    <row r="396" spans="1:14" x14ac:dyDescent="0.25">
      <c r="A396" s="29">
        <v>27</v>
      </c>
      <c r="B396" t="s">
        <v>28</v>
      </c>
      <c r="C396" s="1" t="s">
        <v>29</v>
      </c>
      <c r="D396" t="s">
        <v>1278</v>
      </c>
      <c r="E396" t="s">
        <v>569</v>
      </c>
      <c r="F396" s="31">
        <v>1503.11</v>
      </c>
      <c r="G396" s="17">
        <v>60</v>
      </c>
      <c r="H396" s="31">
        <v>901.8</v>
      </c>
      <c r="I396" s="31">
        <f t="shared" si="25"/>
        <v>89284.799999999988</v>
      </c>
      <c r="J396" s="16">
        <f t="shared" si="26"/>
        <v>81844.39999999998</v>
      </c>
      <c r="K396">
        <v>12</v>
      </c>
      <c r="L396" s="16">
        <f t="shared" si="27"/>
        <v>9821.3279999999977</v>
      </c>
      <c r="M396">
        <v>0</v>
      </c>
      <c r="N396" s="16">
        <f t="shared" si="28"/>
        <v>0</v>
      </c>
    </row>
    <row r="397" spans="1:14" x14ac:dyDescent="0.25">
      <c r="A397" s="29">
        <v>27</v>
      </c>
      <c r="B397" t="s">
        <v>28</v>
      </c>
      <c r="C397" s="1" t="s">
        <v>29</v>
      </c>
      <c r="D397" t="s">
        <v>1212</v>
      </c>
      <c r="E397" t="s">
        <v>569</v>
      </c>
      <c r="F397" s="31">
        <v>1503.12</v>
      </c>
      <c r="G397" s="17">
        <v>24</v>
      </c>
      <c r="H397" s="31">
        <v>361.26</v>
      </c>
      <c r="I397" s="31">
        <f t="shared" si="25"/>
        <v>35713.619999999995</v>
      </c>
      <c r="J397" s="16">
        <f t="shared" si="26"/>
        <v>32737.484999999993</v>
      </c>
      <c r="K397">
        <v>12</v>
      </c>
      <c r="L397" s="16">
        <f t="shared" si="27"/>
        <v>3928.4981999999995</v>
      </c>
      <c r="M397">
        <v>0</v>
      </c>
      <c r="N397" s="16">
        <f t="shared" si="28"/>
        <v>0</v>
      </c>
    </row>
    <row r="398" spans="1:14" x14ac:dyDescent="0.25">
      <c r="A398" s="29">
        <v>27</v>
      </c>
      <c r="B398" t="s">
        <v>28</v>
      </c>
      <c r="C398" s="1" t="s">
        <v>29</v>
      </c>
      <c r="D398" t="s">
        <v>1213</v>
      </c>
      <c r="E398" t="s">
        <v>569</v>
      </c>
      <c r="F398" s="31">
        <v>1503.12</v>
      </c>
      <c r="G398" s="17">
        <v>24</v>
      </c>
      <c r="H398" s="31">
        <v>361.26</v>
      </c>
      <c r="I398" s="31">
        <f t="shared" si="25"/>
        <v>35713.619999999995</v>
      </c>
      <c r="J398" s="16">
        <f t="shared" si="26"/>
        <v>32737.484999999993</v>
      </c>
      <c r="K398">
        <v>12</v>
      </c>
      <c r="L398" s="16">
        <f t="shared" si="27"/>
        <v>3928.4981999999995</v>
      </c>
      <c r="M398">
        <v>0</v>
      </c>
      <c r="N398" s="16">
        <f t="shared" si="28"/>
        <v>0</v>
      </c>
    </row>
    <row r="399" spans="1:14" x14ac:dyDescent="0.25">
      <c r="A399" s="29">
        <v>27</v>
      </c>
      <c r="B399" t="s">
        <v>28</v>
      </c>
      <c r="C399" s="1" t="s">
        <v>29</v>
      </c>
      <c r="D399" t="s">
        <v>1281</v>
      </c>
      <c r="E399" t="s">
        <v>569</v>
      </c>
      <c r="F399" s="31">
        <v>1503.12</v>
      </c>
      <c r="G399" s="17">
        <v>24</v>
      </c>
      <c r="H399" s="31">
        <v>361.26</v>
      </c>
      <c r="I399" s="31">
        <f t="shared" si="25"/>
        <v>35713.619999999995</v>
      </c>
      <c r="J399" s="16">
        <f t="shared" si="26"/>
        <v>32737.484999999993</v>
      </c>
      <c r="K399">
        <v>12</v>
      </c>
      <c r="L399" s="16">
        <f t="shared" si="27"/>
        <v>3928.4981999999995</v>
      </c>
      <c r="M399">
        <v>0</v>
      </c>
      <c r="N399" s="16">
        <f t="shared" si="28"/>
        <v>0</v>
      </c>
    </row>
    <row r="400" spans="1:14" x14ac:dyDescent="0.25">
      <c r="A400" s="29">
        <v>27</v>
      </c>
      <c r="B400" t="s">
        <v>28</v>
      </c>
      <c r="C400" s="1" t="s">
        <v>29</v>
      </c>
      <c r="D400" t="s">
        <v>1215</v>
      </c>
      <c r="E400" t="s">
        <v>569</v>
      </c>
      <c r="F400" s="31">
        <v>1503.12</v>
      </c>
      <c r="G400" s="17">
        <v>24</v>
      </c>
      <c r="H400" s="31">
        <v>361.26</v>
      </c>
      <c r="I400" s="31">
        <f t="shared" si="25"/>
        <v>35713.619999999995</v>
      </c>
      <c r="J400" s="16">
        <f t="shared" si="26"/>
        <v>32737.484999999993</v>
      </c>
      <c r="K400">
        <v>12</v>
      </c>
      <c r="L400" s="16">
        <f t="shared" si="27"/>
        <v>3928.4981999999995</v>
      </c>
      <c r="M400">
        <v>0</v>
      </c>
      <c r="N400" s="16">
        <f t="shared" si="28"/>
        <v>0</v>
      </c>
    </row>
    <row r="401" spans="1:14" x14ac:dyDescent="0.25">
      <c r="A401" s="29">
        <v>27</v>
      </c>
      <c r="B401" t="s">
        <v>28</v>
      </c>
      <c r="C401" s="1" t="s">
        <v>29</v>
      </c>
      <c r="D401" t="s">
        <v>1314</v>
      </c>
      <c r="E401" t="s">
        <v>569</v>
      </c>
      <c r="F401" s="31">
        <v>956.17</v>
      </c>
      <c r="G401" s="17">
        <v>100</v>
      </c>
      <c r="H401" s="31">
        <v>955.86</v>
      </c>
      <c r="I401" s="31">
        <f t="shared" si="25"/>
        <v>94661.14</v>
      </c>
      <c r="J401" s="16">
        <f t="shared" si="26"/>
        <v>86772.71166666667</v>
      </c>
      <c r="K401">
        <v>12</v>
      </c>
      <c r="L401" s="16">
        <f t="shared" si="27"/>
        <v>10412.725400000001</v>
      </c>
      <c r="M401">
        <v>0</v>
      </c>
      <c r="N401" s="16">
        <f t="shared" si="28"/>
        <v>0</v>
      </c>
    </row>
    <row r="402" spans="1:14" x14ac:dyDescent="0.25">
      <c r="A402" s="29">
        <v>27</v>
      </c>
      <c r="B402" t="s">
        <v>28</v>
      </c>
      <c r="C402" s="1" t="s">
        <v>29</v>
      </c>
      <c r="D402" t="s">
        <v>1239</v>
      </c>
      <c r="E402" t="s">
        <v>569</v>
      </c>
      <c r="F402" s="31">
        <v>956.17</v>
      </c>
      <c r="G402" s="17">
        <v>250</v>
      </c>
      <c r="H402" s="31">
        <v>2390.09</v>
      </c>
      <c r="I402" s="31">
        <f t="shared" si="25"/>
        <v>236652.41</v>
      </c>
      <c r="J402" s="16">
        <f t="shared" si="26"/>
        <v>216931.37583333332</v>
      </c>
      <c r="K402">
        <v>12</v>
      </c>
      <c r="L402" s="16">
        <f t="shared" si="27"/>
        <v>26031.765099999997</v>
      </c>
      <c r="M402">
        <v>0</v>
      </c>
      <c r="N402" s="16">
        <f t="shared" si="28"/>
        <v>0</v>
      </c>
    </row>
    <row r="403" spans="1:14" x14ac:dyDescent="0.25">
      <c r="A403" s="29">
        <v>27</v>
      </c>
      <c r="B403" t="s">
        <v>28</v>
      </c>
      <c r="C403" s="1" t="s">
        <v>29</v>
      </c>
      <c r="D403" t="s">
        <v>1315</v>
      </c>
      <c r="E403" t="s">
        <v>569</v>
      </c>
      <c r="F403" s="31">
        <v>956.17</v>
      </c>
      <c r="G403" s="17">
        <v>100</v>
      </c>
      <c r="H403" s="31">
        <v>955.86</v>
      </c>
      <c r="I403" s="31">
        <f t="shared" si="25"/>
        <v>94661.14</v>
      </c>
      <c r="J403" s="16">
        <f t="shared" si="26"/>
        <v>86772.71166666667</v>
      </c>
      <c r="K403">
        <v>12</v>
      </c>
      <c r="L403" s="16">
        <f t="shared" si="27"/>
        <v>10412.725400000001</v>
      </c>
      <c r="M403">
        <v>0</v>
      </c>
      <c r="N403" s="16">
        <f t="shared" si="28"/>
        <v>0</v>
      </c>
    </row>
    <row r="404" spans="1:14" x14ac:dyDescent="0.25">
      <c r="A404" s="29">
        <v>27</v>
      </c>
      <c r="B404" t="s">
        <v>28</v>
      </c>
      <c r="C404" s="1" t="s">
        <v>29</v>
      </c>
      <c r="D404" t="s">
        <v>1297</v>
      </c>
      <c r="E404" t="s">
        <v>569</v>
      </c>
      <c r="F404" s="31">
        <v>270.49</v>
      </c>
      <c r="G404" s="17">
        <v>360</v>
      </c>
      <c r="H404" s="31">
        <v>973.87</v>
      </c>
      <c r="I404" s="31">
        <f t="shared" si="25"/>
        <v>96402.530000000013</v>
      </c>
      <c r="J404" s="16">
        <f t="shared" si="26"/>
        <v>88368.98583333334</v>
      </c>
      <c r="K404">
        <v>12</v>
      </c>
      <c r="L404" s="16">
        <f t="shared" si="27"/>
        <v>10604.2783</v>
      </c>
      <c r="M404">
        <v>0</v>
      </c>
      <c r="N404" s="16">
        <f t="shared" si="28"/>
        <v>0</v>
      </c>
    </row>
    <row r="405" spans="1:14" x14ac:dyDescent="0.25">
      <c r="A405" s="29">
        <v>27</v>
      </c>
      <c r="B405" t="s">
        <v>28</v>
      </c>
      <c r="C405" s="1" t="s">
        <v>29</v>
      </c>
      <c r="D405" t="s">
        <v>1300</v>
      </c>
      <c r="E405" t="s">
        <v>569</v>
      </c>
      <c r="F405" s="31">
        <v>270.49</v>
      </c>
      <c r="G405" s="17">
        <v>360</v>
      </c>
      <c r="H405" s="31">
        <v>973.87</v>
      </c>
      <c r="I405" s="31">
        <f t="shared" si="25"/>
        <v>96402.530000000013</v>
      </c>
      <c r="J405" s="16">
        <f t="shared" si="26"/>
        <v>88368.98583333334</v>
      </c>
      <c r="K405">
        <v>12</v>
      </c>
      <c r="L405" s="16">
        <f t="shared" si="27"/>
        <v>10604.2783</v>
      </c>
      <c r="M405">
        <v>0</v>
      </c>
      <c r="N405" s="16">
        <f t="shared" si="28"/>
        <v>0</v>
      </c>
    </row>
    <row r="406" spans="1:14" x14ac:dyDescent="0.25">
      <c r="A406" s="29">
        <v>27</v>
      </c>
      <c r="B406" t="s">
        <v>28</v>
      </c>
      <c r="C406" s="1" t="s">
        <v>29</v>
      </c>
      <c r="D406" t="s">
        <v>1303</v>
      </c>
      <c r="E406" t="s">
        <v>569</v>
      </c>
      <c r="F406" s="31">
        <v>3669.97</v>
      </c>
      <c r="G406" s="17">
        <v>12</v>
      </c>
      <c r="H406" s="31">
        <v>439.64</v>
      </c>
      <c r="I406" s="31">
        <f t="shared" si="25"/>
        <v>43600</v>
      </c>
      <c r="J406" s="16">
        <f t="shared" si="26"/>
        <v>39966.666666666664</v>
      </c>
      <c r="K406">
        <v>12</v>
      </c>
      <c r="L406" s="16">
        <f t="shared" si="27"/>
        <v>4796</v>
      </c>
      <c r="M406">
        <v>0</v>
      </c>
      <c r="N406" s="16">
        <f t="shared" si="28"/>
        <v>0</v>
      </c>
    </row>
    <row r="407" spans="1:14" x14ac:dyDescent="0.25">
      <c r="A407" s="29">
        <v>27</v>
      </c>
      <c r="B407" t="s">
        <v>28</v>
      </c>
      <c r="C407" s="1" t="s">
        <v>29</v>
      </c>
      <c r="D407" t="s">
        <v>1282</v>
      </c>
      <c r="E407" t="s">
        <v>569</v>
      </c>
      <c r="F407" s="31">
        <v>1503.11</v>
      </c>
      <c r="G407" s="17">
        <v>60</v>
      </c>
      <c r="H407" s="31">
        <v>901.8</v>
      </c>
      <c r="I407" s="31">
        <f t="shared" si="25"/>
        <v>89284.799999999988</v>
      </c>
      <c r="J407" s="16">
        <f t="shared" si="26"/>
        <v>81844.39999999998</v>
      </c>
      <c r="K407">
        <v>12</v>
      </c>
      <c r="L407" s="16">
        <f t="shared" si="27"/>
        <v>9821.3279999999977</v>
      </c>
      <c r="M407">
        <v>0</v>
      </c>
      <c r="N407" s="16">
        <f t="shared" si="28"/>
        <v>0</v>
      </c>
    </row>
    <row r="408" spans="1:14" x14ac:dyDescent="0.25">
      <c r="A408" s="29">
        <v>27</v>
      </c>
      <c r="B408" t="s">
        <v>28</v>
      </c>
      <c r="C408" s="1" t="s">
        <v>29</v>
      </c>
      <c r="D408" t="s">
        <v>1265</v>
      </c>
      <c r="E408" t="s">
        <v>569</v>
      </c>
      <c r="F408" s="31">
        <v>956.17</v>
      </c>
      <c r="G408" s="17">
        <v>100</v>
      </c>
      <c r="H408" s="31">
        <v>955.86</v>
      </c>
      <c r="I408" s="31">
        <f t="shared" si="25"/>
        <v>94661.14</v>
      </c>
      <c r="J408" s="16">
        <f t="shared" si="26"/>
        <v>86772.71166666667</v>
      </c>
      <c r="K408">
        <v>12</v>
      </c>
      <c r="L408" s="16">
        <f t="shared" si="27"/>
        <v>10412.725400000001</v>
      </c>
      <c r="M408">
        <v>0</v>
      </c>
      <c r="N408" s="16">
        <f t="shared" si="28"/>
        <v>0</v>
      </c>
    </row>
    <row r="409" spans="1:14" x14ac:dyDescent="0.25">
      <c r="A409" s="29">
        <v>27</v>
      </c>
      <c r="B409" t="s">
        <v>28</v>
      </c>
      <c r="C409" s="1" t="s">
        <v>29</v>
      </c>
      <c r="D409" t="s">
        <v>1322</v>
      </c>
      <c r="E409" t="s">
        <v>569</v>
      </c>
      <c r="F409" s="31">
        <v>7250.15</v>
      </c>
      <c r="G409" s="17">
        <v>3</v>
      </c>
      <c r="H409" s="31">
        <v>218.02</v>
      </c>
      <c r="I409" s="31">
        <f t="shared" si="25"/>
        <v>21532.429999999997</v>
      </c>
      <c r="J409" s="16">
        <f t="shared" si="26"/>
        <v>19738.060833333329</v>
      </c>
      <c r="K409">
        <v>12</v>
      </c>
      <c r="L409" s="16">
        <f t="shared" si="27"/>
        <v>2368.5672999999997</v>
      </c>
      <c r="M409">
        <v>0</v>
      </c>
      <c r="N409" s="16">
        <f t="shared" si="28"/>
        <v>0</v>
      </c>
    </row>
    <row r="410" spans="1:14" x14ac:dyDescent="0.25">
      <c r="A410" s="29">
        <v>27</v>
      </c>
      <c r="B410" t="s">
        <v>28</v>
      </c>
      <c r="C410" s="1" t="s">
        <v>29</v>
      </c>
      <c r="D410" t="s">
        <v>1384</v>
      </c>
      <c r="E410" t="s">
        <v>569</v>
      </c>
      <c r="F410" s="31">
        <v>7250.15</v>
      </c>
      <c r="G410" s="17">
        <v>3</v>
      </c>
      <c r="H410" s="31">
        <v>218.02</v>
      </c>
      <c r="I410" s="31">
        <f t="shared" si="25"/>
        <v>21532.429999999997</v>
      </c>
      <c r="J410" s="16">
        <f t="shared" si="26"/>
        <v>19738.060833333329</v>
      </c>
      <c r="K410">
        <v>12</v>
      </c>
      <c r="L410" s="16">
        <f t="shared" si="27"/>
        <v>2368.5672999999997</v>
      </c>
      <c r="M410">
        <v>0</v>
      </c>
      <c r="N410" s="16">
        <f t="shared" si="28"/>
        <v>0</v>
      </c>
    </row>
    <row r="411" spans="1:14" x14ac:dyDescent="0.25">
      <c r="A411" s="29">
        <v>28</v>
      </c>
      <c r="B411" t="s">
        <v>28</v>
      </c>
      <c r="C411" s="1" t="s">
        <v>29</v>
      </c>
      <c r="D411" t="s">
        <v>1278</v>
      </c>
      <c r="E411" t="s">
        <v>569</v>
      </c>
      <c r="F411" s="31">
        <v>1503.1</v>
      </c>
      <c r="G411" s="17">
        <v>36</v>
      </c>
      <c r="H411" s="31">
        <v>1081.98</v>
      </c>
      <c r="I411" s="31">
        <f t="shared" si="25"/>
        <v>53029.619999999995</v>
      </c>
      <c r="J411" s="16">
        <f t="shared" si="26"/>
        <v>48610.484999999993</v>
      </c>
      <c r="K411">
        <v>12</v>
      </c>
      <c r="L411" s="16">
        <f t="shared" si="27"/>
        <v>5833.2581999999993</v>
      </c>
      <c r="M411">
        <v>0</v>
      </c>
      <c r="N411" s="16">
        <f t="shared" si="28"/>
        <v>0</v>
      </c>
    </row>
    <row r="412" spans="1:14" x14ac:dyDescent="0.25">
      <c r="A412" s="29">
        <v>28</v>
      </c>
      <c r="B412" t="s">
        <v>28</v>
      </c>
      <c r="C412" s="1" t="s">
        <v>29</v>
      </c>
      <c r="D412" t="s">
        <v>1279</v>
      </c>
      <c r="E412" t="s">
        <v>569</v>
      </c>
      <c r="F412" s="31">
        <v>1503.1</v>
      </c>
      <c r="G412" s="17">
        <v>36</v>
      </c>
      <c r="H412" s="31">
        <v>1081.98</v>
      </c>
      <c r="I412" s="31">
        <f t="shared" si="25"/>
        <v>53029.619999999995</v>
      </c>
      <c r="J412" s="16">
        <f t="shared" si="26"/>
        <v>48610.484999999993</v>
      </c>
      <c r="K412">
        <v>12</v>
      </c>
      <c r="L412" s="16">
        <f t="shared" si="27"/>
        <v>5833.2581999999993</v>
      </c>
      <c r="M412">
        <v>0</v>
      </c>
      <c r="N412" s="16">
        <f t="shared" si="28"/>
        <v>0</v>
      </c>
    </row>
    <row r="413" spans="1:14" x14ac:dyDescent="0.25">
      <c r="A413" s="29">
        <v>28</v>
      </c>
      <c r="B413" t="s">
        <v>28</v>
      </c>
      <c r="C413" s="1" t="s">
        <v>29</v>
      </c>
      <c r="D413" t="s">
        <v>1213</v>
      </c>
      <c r="E413" t="s">
        <v>569</v>
      </c>
      <c r="F413" s="31">
        <v>1503.1</v>
      </c>
      <c r="G413" s="17">
        <v>36</v>
      </c>
      <c r="H413" s="31">
        <v>1081.98</v>
      </c>
      <c r="I413" s="31">
        <f t="shared" si="25"/>
        <v>53029.619999999995</v>
      </c>
      <c r="J413" s="16">
        <f t="shared" si="26"/>
        <v>48610.484999999993</v>
      </c>
      <c r="K413">
        <v>12</v>
      </c>
      <c r="L413" s="16">
        <f t="shared" si="27"/>
        <v>5833.2581999999993</v>
      </c>
      <c r="M413">
        <v>0</v>
      </c>
      <c r="N413" s="16">
        <f t="shared" si="28"/>
        <v>0</v>
      </c>
    </row>
    <row r="414" spans="1:14" x14ac:dyDescent="0.25">
      <c r="A414" s="29">
        <v>28</v>
      </c>
      <c r="B414" t="s">
        <v>28</v>
      </c>
      <c r="C414" s="1" t="s">
        <v>29</v>
      </c>
      <c r="D414" t="s">
        <v>1280</v>
      </c>
      <c r="E414" t="s">
        <v>569</v>
      </c>
      <c r="F414" s="31">
        <v>1503.1</v>
      </c>
      <c r="G414" s="17">
        <v>36</v>
      </c>
      <c r="H414" s="31">
        <v>1081.98</v>
      </c>
      <c r="I414" s="31">
        <f t="shared" si="25"/>
        <v>53029.619999999995</v>
      </c>
      <c r="J414" s="16">
        <f t="shared" si="26"/>
        <v>48610.484999999993</v>
      </c>
      <c r="K414">
        <v>12</v>
      </c>
      <c r="L414" s="16">
        <f t="shared" si="27"/>
        <v>5833.2581999999993</v>
      </c>
      <c r="M414">
        <v>0</v>
      </c>
      <c r="N414" s="16">
        <f t="shared" si="28"/>
        <v>0</v>
      </c>
    </row>
    <row r="415" spans="1:14" x14ac:dyDescent="0.25">
      <c r="A415" s="29">
        <v>28</v>
      </c>
      <c r="B415" t="s">
        <v>28</v>
      </c>
      <c r="C415" s="1" t="s">
        <v>29</v>
      </c>
      <c r="D415" t="s">
        <v>1214</v>
      </c>
      <c r="E415" t="s">
        <v>569</v>
      </c>
      <c r="F415" s="31">
        <v>2190.17</v>
      </c>
      <c r="G415" s="17">
        <v>60</v>
      </c>
      <c r="H415" s="31">
        <v>2627.93</v>
      </c>
      <c r="I415" s="31">
        <f t="shared" si="25"/>
        <v>128782.27000000002</v>
      </c>
      <c r="J415" s="16">
        <f t="shared" si="26"/>
        <v>118050.41416666668</v>
      </c>
      <c r="K415">
        <v>12</v>
      </c>
      <c r="L415" s="16">
        <f t="shared" si="27"/>
        <v>14166.049700000001</v>
      </c>
      <c r="M415">
        <v>0</v>
      </c>
      <c r="N415" s="16">
        <f t="shared" si="28"/>
        <v>0</v>
      </c>
    </row>
    <row r="416" spans="1:14" x14ac:dyDescent="0.25">
      <c r="A416" s="29">
        <v>28</v>
      </c>
      <c r="B416" t="s">
        <v>28</v>
      </c>
      <c r="C416" s="1" t="s">
        <v>29</v>
      </c>
      <c r="D416" t="s">
        <v>1281</v>
      </c>
      <c r="E416" t="s">
        <v>569</v>
      </c>
      <c r="F416" s="31">
        <v>1503.12</v>
      </c>
      <c r="G416" s="17">
        <v>24</v>
      </c>
      <c r="H416" s="31">
        <v>720.72</v>
      </c>
      <c r="I416" s="31">
        <f t="shared" si="25"/>
        <v>35354.159999999996</v>
      </c>
      <c r="J416" s="16">
        <f t="shared" si="26"/>
        <v>32407.979999999996</v>
      </c>
      <c r="K416">
        <v>12</v>
      </c>
      <c r="L416" s="16">
        <f t="shared" si="27"/>
        <v>3888.9575999999997</v>
      </c>
      <c r="M416">
        <v>0</v>
      </c>
      <c r="N416" s="16">
        <f t="shared" si="28"/>
        <v>0</v>
      </c>
    </row>
    <row r="417" spans="1:14" x14ac:dyDescent="0.25">
      <c r="A417" s="29">
        <v>28</v>
      </c>
      <c r="B417" t="s">
        <v>28</v>
      </c>
      <c r="C417" s="1" t="s">
        <v>29</v>
      </c>
      <c r="D417" t="s">
        <v>1215</v>
      </c>
      <c r="E417" t="s">
        <v>569</v>
      </c>
      <c r="F417" s="31">
        <v>1503.1</v>
      </c>
      <c r="G417" s="17">
        <v>36</v>
      </c>
      <c r="H417" s="31">
        <v>1081.98</v>
      </c>
      <c r="I417" s="31">
        <f t="shared" si="25"/>
        <v>53029.619999999995</v>
      </c>
      <c r="J417" s="16">
        <f t="shared" si="26"/>
        <v>48610.484999999993</v>
      </c>
      <c r="K417">
        <v>12</v>
      </c>
      <c r="L417" s="16">
        <f t="shared" si="27"/>
        <v>5833.2581999999993</v>
      </c>
      <c r="M417">
        <v>0</v>
      </c>
      <c r="N417" s="16">
        <f t="shared" si="28"/>
        <v>0</v>
      </c>
    </row>
    <row r="418" spans="1:14" x14ac:dyDescent="0.25">
      <c r="A418" s="29">
        <v>28</v>
      </c>
      <c r="B418" t="s">
        <v>28</v>
      </c>
      <c r="C418" s="1" t="s">
        <v>29</v>
      </c>
      <c r="D418" t="s">
        <v>1239</v>
      </c>
      <c r="E418" t="s">
        <v>569</v>
      </c>
      <c r="F418" s="31">
        <v>956.17</v>
      </c>
      <c r="G418" s="17">
        <v>250</v>
      </c>
      <c r="H418" s="31">
        <v>4781.08</v>
      </c>
      <c r="I418" s="31">
        <f t="shared" si="25"/>
        <v>234261.42</v>
      </c>
      <c r="J418" s="16">
        <f t="shared" si="26"/>
        <v>214739.63500000001</v>
      </c>
      <c r="K418">
        <v>12</v>
      </c>
      <c r="L418" s="16">
        <f t="shared" si="27"/>
        <v>25768.7562</v>
      </c>
      <c r="M418">
        <v>0</v>
      </c>
      <c r="N418" s="16">
        <f t="shared" si="28"/>
        <v>0</v>
      </c>
    </row>
    <row r="419" spans="1:14" x14ac:dyDescent="0.25">
      <c r="A419" s="29">
        <v>28</v>
      </c>
      <c r="B419" t="s">
        <v>28</v>
      </c>
      <c r="C419" s="1" t="s">
        <v>29</v>
      </c>
      <c r="D419" t="s">
        <v>1385</v>
      </c>
      <c r="E419" t="s">
        <v>569</v>
      </c>
      <c r="F419" s="31">
        <v>956.17</v>
      </c>
      <c r="G419" s="17">
        <v>100</v>
      </c>
      <c r="H419" s="31">
        <v>1911.71</v>
      </c>
      <c r="I419" s="31">
        <f t="shared" si="25"/>
        <v>93705.29</v>
      </c>
      <c r="J419" s="16">
        <f t="shared" si="26"/>
        <v>85896.515833333324</v>
      </c>
      <c r="K419">
        <v>12</v>
      </c>
      <c r="L419" s="16">
        <f t="shared" si="27"/>
        <v>10307.581899999999</v>
      </c>
      <c r="M419">
        <v>0</v>
      </c>
      <c r="N419" s="16">
        <f t="shared" si="28"/>
        <v>0</v>
      </c>
    </row>
    <row r="420" spans="1:14" x14ac:dyDescent="0.25">
      <c r="A420" s="29">
        <v>28</v>
      </c>
      <c r="B420" t="s">
        <v>28</v>
      </c>
      <c r="C420" s="1" t="s">
        <v>29</v>
      </c>
      <c r="D420" t="s">
        <v>1317</v>
      </c>
      <c r="E420" t="s">
        <v>569</v>
      </c>
      <c r="F420" s="31">
        <v>956.18</v>
      </c>
      <c r="G420" s="17">
        <v>50</v>
      </c>
      <c r="H420" s="31">
        <v>955.86</v>
      </c>
      <c r="I420" s="31">
        <f t="shared" si="25"/>
        <v>46853.14</v>
      </c>
      <c r="J420" s="16">
        <f t="shared" si="26"/>
        <v>42948.711666666662</v>
      </c>
      <c r="K420">
        <v>12</v>
      </c>
      <c r="L420" s="16">
        <f t="shared" si="27"/>
        <v>5153.8453999999992</v>
      </c>
      <c r="M420">
        <v>0</v>
      </c>
      <c r="N420" s="16">
        <f t="shared" si="28"/>
        <v>0</v>
      </c>
    </row>
    <row r="421" spans="1:14" x14ac:dyDescent="0.25">
      <c r="A421" s="29">
        <v>28</v>
      </c>
      <c r="B421" t="s">
        <v>28</v>
      </c>
      <c r="C421" s="1" t="s">
        <v>29</v>
      </c>
      <c r="D421" t="s">
        <v>1299</v>
      </c>
      <c r="E421" t="s">
        <v>569</v>
      </c>
      <c r="F421" s="31">
        <v>270.49</v>
      </c>
      <c r="G421" s="17">
        <v>240</v>
      </c>
      <c r="H421" s="31">
        <v>1298.2</v>
      </c>
      <c r="I421" s="31">
        <f t="shared" si="25"/>
        <v>63619.400000000009</v>
      </c>
      <c r="J421" s="16">
        <f t="shared" si="26"/>
        <v>58317.78333333334</v>
      </c>
      <c r="K421">
        <v>12</v>
      </c>
      <c r="L421" s="16">
        <f t="shared" si="27"/>
        <v>6998.1340000000018</v>
      </c>
      <c r="M421">
        <v>0</v>
      </c>
      <c r="N421" s="16">
        <f t="shared" si="28"/>
        <v>0</v>
      </c>
    </row>
    <row r="422" spans="1:14" x14ac:dyDescent="0.25">
      <c r="A422" s="29">
        <v>28</v>
      </c>
      <c r="B422" t="s">
        <v>28</v>
      </c>
      <c r="C422" s="1" t="s">
        <v>29</v>
      </c>
      <c r="D422" t="s">
        <v>1300</v>
      </c>
      <c r="E422" t="s">
        <v>569</v>
      </c>
      <c r="F422" s="31">
        <v>270.49</v>
      </c>
      <c r="G422" s="17">
        <v>120</v>
      </c>
      <c r="H422" s="31">
        <v>648.65</v>
      </c>
      <c r="I422" s="31">
        <f t="shared" si="25"/>
        <v>31810.15</v>
      </c>
      <c r="J422" s="16">
        <f t="shared" si="26"/>
        <v>29159.304166666669</v>
      </c>
      <c r="K422">
        <v>12</v>
      </c>
      <c r="L422" s="16">
        <f t="shared" si="27"/>
        <v>3499.1165000000001</v>
      </c>
      <c r="M422">
        <v>0</v>
      </c>
      <c r="N422" s="16">
        <f t="shared" si="28"/>
        <v>0</v>
      </c>
    </row>
    <row r="423" spans="1:14" x14ac:dyDescent="0.25">
      <c r="A423" s="29">
        <v>28</v>
      </c>
      <c r="B423" t="s">
        <v>28</v>
      </c>
      <c r="C423" s="1" t="s">
        <v>29</v>
      </c>
      <c r="D423" t="s">
        <v>1386</v>
      </c>
      <c r="E423" t="s">
        <v>569</v>
      </c>
      <c r="F423" s="31">
        <v>270.49</v>
      </c>
      <c r="G423" s="17">
        <v>120</v>
      </c>
      <c r="H423" s="31">
        <v>648.65</v>
      </c>
      <c r="I423" s="31">
        <f t="shared" si="25"/>
        <v>31810.15</v>
      </c>
      <c r="J423" s="16">
        <f t="shared" si="26"/>
        <v>29159.304166666669</v>
      </c>
      <c r="K423">
        <v>12</v>
      </c>
      <c r="L423" s="16">
        <f t="shared" si="27"/>
        <v>3499.1165000000001</v>
      </c>
      <c r="M423">
        <v>0</v>
      </c>
      <c r="N423" s="16">
        <f t="shared" si="28"/>
        <v>0</v>
      </c>
    </row>
    <row r="424" spans="1:14" x14ac:dyDescent="0.25">
      <c r="A424" s="29">
        <v>28</v>
      </c>
      <c r="B424" t="s">
        <v>28</v>
      </c>
      <c r="C424" s="1" t="s">
        <v>29</v>
      </c>
      <c r="D424" t="s">
        <v>1379</v>
      </c>
      <c r="E424" t="s">
        <v>569</v>
      </c>
      <c r="F424" s="31">
        <v>257.52</v>
      </c>
      <c r="G424" s="17">
        <v>360</v>
      </c>
      <c r="H424" s="31">
        <v>1854.05</v>
      </c>
      <c r="I424" s="31">
        <f t="shared" si="25"/>
        <v>90853.15</v>
      </c>
      <c r="J424" s="16">
        <f t="shared" si="26"/>
        <v>83282.054166666654</v>
      </c>
      <c r="K424">
        <v>12</v>
      </c>
      <c r="L424" s="16">
        <f t="shared" si="27"/>
        <v>9993.8464999999997</v>
      </c>
      <c r="M424">
        <v>0</v>
      </c>
      <c r="N424" s="16">
        <f t="shared" si="28"/>
        <v>0</v>
      </c>
    </row>
    <row r="425" spans="1:14" x14ac:dyDescent="0.25">
      <c r="A425" s="29">
        <v>28</v>
      </c>
      <c r="B425" t="s">
        <v>28</v>
      </c>
      <c r="C425" s="1" t="s">
        <v>29</v>
      </c>
      <c r="D425" t="s">
        <v>1266</v>
      </c>
      <c r="E425" t="s">
        <v>569</v>
      </c>
      <c r="F425" s="31">
        <v>257.52</v>
      </c>
      <c r="G425" s="17">
        <v>120</v>
      </c>
      <c r="H425" s="31">
        <v>618.02</v>
      </c>
      <c r="I425" s="31">
        <f t="shared" si="25"/>
        <v>30284.379999999997</v>
      </c>
      <c r="J425" s="16">
        <f t="shared" si="26"/>
        <v>27760.681666666664</v>
      </c>
      <c r="K425">
        <v>12</v>
      </c>
      <c r="L425" s="16">
        <f t="shared" si="27"/>
        <v>3331.2817999999993</v>
      </c>
      <c r="M425">
        <v>0</v>
      </c>
      <c r="N425" s="16">
        <f t="shared" si="28"/>
        <v>0</v>
      </c>
    </row>
    <row r="426" spans="1:14" x14ac:dyDescent="0.25">
      <c r="A426" s="29">
        <v>28</v>
      </c>
      <c r="B426" t="s">
        <v>28</v>
      </c>
      <c r="C426" s="1" t="s">
        <v>29</v>
      </c>
      <c r="D426" t="s">
        <v>1217</v>
      </c>
      <c r="E426" t="s">
        <v>569</v>
      </c>
      <c r="F426" s="31">
        <v>7411.11</v>
      </c>
      <c r="G426" s="17">
        <v>3</v>
      </c>
      <c r="H426" s="31">
        <v>445.05</v>
      </c>
      <c r="I426" s="31">
        <f t="shared" si="25"/>
        <v>21788.28</v>
      </c>
      <c r="J426" s="16">
        <f t="shared" si="26"/>
        <v>19972.589999999997</v>
      </c>
      <c r="K426">
        <v>12</v>
      </c>
      <c r="L426" s="16">
        <f t="shared" si="27"/>
        <v>2396.7107999999994</v>
      </c>
      <c r="M426">
        <v>0</v>
      </c>
      <c r="N426" s="16">
        <f t="shared" si="28"/>
        <v>0</v>
      </c>
    </row>
    <row r="427" spans="1:14" x14ac:dyDescent="0.25">
      <c r="A427" s="29">
        <v>28</v>
      </c>
      <c r="B427" t="s">
        <v>28</v>
      </c>
      <c r="C427" s="1" t="s">
        <v>29</v>
      </c>
      <c r="D427" t="s">
        <v>1220</v>
      </c>
      <c r="E427" t="s">
        <v>569</v>
      </c>
      <c r="F427" s="31">
        <v>7411.26</v>
      </c>
      <c r="G427" s="17">
        <v>2</v>
      </c>
      <c r="H427" s="31">
        <v>296.39999999999998</v>
      </c>
      <c r="I427" s="31">
        <f t="shared" si="25"/>
        <v>14526.12</v>
      </c>
      <c r="J427" s="16">
        <f t="shared" si="26"/>
        <v>13315.61</v>
      </c>
      <c r="K427">
        <v>12</v>
      </c>
      <c r="L427" s="16">
        <f t="shared" si="27"/>
        <v>1597.8732</v>
      </c>
      <c r="M427">
        <v>0</v>
      </c>
      <c r="N427" s="16">
        <f t="shared" si="28"/>
        <v>0</v>
      </c>
    </row>
    <row r="428" spans="1:14" x14ac:dyDescent="0.25">
      <c r="A428" s="29">
        <v>28</v>
      </c>
      <c r="B428" t="s">
        <v>28</v>
      </c>
      <c r="C428" s="1" t="s">
        <v>29</v>
      </c>
      <c r="D428" t="s">
        <v>1387</v>
      </c>
      <c r="E428" t="s">
        <v>569</v>
      </c>
      <c r="F428" s="31">
        <v>974.43</v>
      </c>
      <c r="G428" s="17">
        <v>100</v>
      </c>
      <c r="H428" s="31">
        <v>1948.65</v>
      </c>
      <c r="I428" s="31">
        <f t="shared" si="25"/>
        <v>95494.35</v>
      </c>
      <c r="J428" s="16">
        <f t="shared" si="26"/>
        <v>87536.487500000003</v>
      </c>
      <c r="K428">
        <v>12</v>
      </c>
      <c r="L428" s="16">
        <f t="shared" si="27"/>
        <v>10504.378500000001</v>
      </c>
      <c r="M428">
        <v>0</v>
      </c>
      <c r="N428" s="16">
        <f t="shared" si="28"/>
        <v>0</v>
      </c>
    </row>
    <row r="429" spans="1:14" x14ac:dyDescent="0.25">
      <c r="A429" s="29">
        <v>28</v>
      </c>
      <c r="B429" t="s">
        <v>28</v>
      </c>
      <c r="C429" s="1" t="s">
        <v>29</v>
      </c>
      <c r="D429" t="s">
        <v>1247</v>
      </c>
      <c r="E429" t="s">
        <v>569</v>
      </c>
      <c r="F429" s="31">
        <v>974.43</v>
      </c>
      <c r="G429" s="17">
        <v>250</v>
      </c>
      <c r="H429" s="31">
        <v>4872.07</v>
      </c>
      <c r="I429" s="31">
        <f t="shared" si="25"/>
        <v>238735.43</v>
      </c>
      <c r="J429" s="16">
        <f t="shared" si="26"/>
        <v>218840.81083333332</v>
      </c>
      <c r="K429">
        <v>12</v>
      </c>
      <c r="L429" s="16">
        <f t="shared" si="27"/>
        <v>26260.897300000001</v>
      </c>
      <c r="M429">
        <v>0</v>
      </c>
      <c r="N429" s="16">
        <f t="shared" si="28"/>
        <v>0</v>
      </c>
    </row>
    <row r="430" spans="1:14" x14ac:dyDescent="0.25">
      <c r="A430" s="29">
        <v>28</v>
      </c>
      <c r="B430" t="s">
        <v>28</v>
      </c>
      <c r="C430" s="1" t="s">
        <v>29</v>
      </c>
      <c r="D430" t="s">
        <v>1304</v>
      </c>
      <c r="E430" t="s">
        <v>569</v>
      </c>
      <c r="F430" s="31">
        <v>270.49</v>
      </c>
      <c r="G430" s="17">
        <v>120</v>
      </c>
      <c r="H430" s="31">
        <v>648.65</v>
      </c>
      <c r="I430" s="31">
        <f t="shared" si="25"/>
        <v>31810.15</v>
      </c>
      <c r="J430" s="16">
        <f t="shared" si="26"/>
        <v>29159.304166666669</v>
      </c>
      <c r="K430">
        <v>12</v>
      </c>
      <c r="L430" s="16">
        <f t="shared" si="27"/>
        <v>3499.1165000000001</v>
      </c>
      <c r="M430">
        <v>0</v>
      </c>
      <c r="N430" s="16">
        <f t="shared" si="28"/>
        <v>0</v>
      </c>
    </row>
    <row r="431" spans="1:14" x14ac:dyDescent="0.25">
      <c r="A431" s="29">
        <v>28</v>
      </c>
      <c r="B431" t="s">
        <v>28</v>
      </c>
      <c r="C431" s="1" t="s">
        <v>29</v>
      </c>
      <c r="D431" t="s">
        <v>1248</v>
      </c>
      <c r="E431" t="s">
        <v>569</v>
      </c>
      <c r="F431" s="31">
        <v>974.43</v>
      </c>
      <c r="G431" s="17">
        <v>240</v>
      </c>
      <c r="H431" s="31">
        <v>4676.58</v>
      </c>
      <c r="I431" s="31">
        <f t="shared" si="25"/>
        <v>229186.62</v>
      </c>
      <c r="J431" s="16">
        <f t="shared" si="26"/>
        <v>210087.73499999999</v>
      </c>
      <c r="K431">
        <v>12</v>
      </c>
      <c r="L431" s="16">
        <f t="shared" si="27"/>
        <v>25210.528199999997</v>
      </c>
      <c r="M431">
        <v>0</v>
      </c>
      <c r="N431" s="16">
        <f t="shared" si="28"/>
        <v>0</v>
      </c>
    </row>
    <row r="432" spans="1:14" x14ac:dyDescent="0.25">
      <c r="A432" s="29">
        <v>28</v>
      </c>
      <c r="B432" t="s">
        <v>28</v>
      </c>
      <c r="C432" s="1" t="s">
        <v>29</v>
      </c>
      <c r="D432" t="s">
        <v>1282</v>
      </c>
      <c r="E432" t="s">
        <v>569</v>
      </c>
      <c r="F432" s="31">
        <v>1503.11</v>
      </c>
      <c r="G432" s="17">
        <v>60</v>
      </c>
      <c r="H432" s="31">
        <v>1803.6</v>
      </c>
      <c r="I432" s="31">
        <f t="shared" si="25"/>
        <v>88382.999999999985</v>
      </c>
      <c r="J432" s="16">
        <f t="shared" si="26"/>
        <v>81017.749999999985</v>
      </c>
      <c r="K432">
        <v>12</v>
      </c>
      <c r="L432" s="16">
        <f t="shared" si="27"/>
        <v>9722.1299999999974</v>
      </c>
      <c r="M432">
        <v>0</v>
      </c>
      <c r="N432" s="16">
        <f t="shared" si="28"/>
        <v>0</v>
      </c>
    </row>
    <row r="433" spans="1:14" x14ac:dyDescent="0.25">
      <c r="A433" s="29">
        <v>28</v>
      </c>
      <c r="B433" t="s">
        <v>28</v>
      </c>
      <c r="C433" s="1" t="s">
        <v>29</v>
      </c>
      <c r="D433" t="s">
        <v>1253</v>
      </c>
      <c r="E433" t="s">
        <v>569</v>
      </c>
      <c r="F433" s="31">
        <v>270.49</v>
      </c>
      <c r="G433" s="17">
        <v>120</v>
      </c>
      <c r="H433" s="31">
        <v>648.65</v>
      </c>
      <c r="I433" s="31">
        <f t="shared" si="25"/>
        <v>31810.15</v>
      </c>
      <c r="J433" s="16">
        <f t="shared" si="26"/>
        <v>29159.304166666669</v>
      </c>
      <c r="K433">
        <v>12</v>
      </c>
      <c r="L433" s="16">
        <f t="shared" si="27"/>
        <v>3499.1165000000001</v>
      </c>
      <c r="M433">
        <v>0</v>
      </c>
      <c r="N433" s="16">
        <f t="shared" si="28"/>
        <v>0</v>
      </c>
    </row>
    <row r="434" spans="1:14" x14ac:dyDescent="0.25">
      <c r="A434" s="29">
        <v>29</v>
      </c>
      <c r="B434" t="s">
        <v>28</v>
      </c>
      <c r="C434" s="1" t="s">
        <v>29</v>
      </c>
      <c r="D434" t="s">
        <v>1334</v>
      </c>
      <c r="E434" t="s">
        <v>569</v>
      </c>
      <c r="F434" s="31">
        <v>62612.61</v>
      </c>
      <c r="G434" s="17">
        <v>24</v>
      </c>
      <c r="H434" s="31">
        <v>328648.65000000002</v>
      </c>
      <c r="I434" s="31">
        <f t="shared" si="25"/>
        <v>1174053.9900000002</v>
      </c>
      <c r="J434" s="16">
        <f t="shared" si="26"/>
        <v>1076216.1575000002</v>
      </c>
      <c r="K434">
        <v>12</v>
      </c>
      <c r="L434" s="16">
        <f t="shared" si="27"/>
        <v>129145.93890000002</v>
      </c>
      <c r="M434">
        <v>0</v>
      </c>
      <c r="N434" s="16">
        <f t="shared" si="28"/>
        <v>0</v>
      </c>
    </row>
    <row r="435" spans="1:14" x14ac:dyDescent="0.25">
      <c r="A435" s="29">
        <v>30</v>
      </c>
      <c r="B435" t="s">
        <v>28</v>
      </c>
      <c r="C435" s="1" t="s">
        <v>29</v>
      </c>
      <c r="D435" t="s">
        <v>1388</v>
      </c>
      <c r="E435" t="s">
        <v>569</v>
      </c>
      <c r="F435" s="31">
        <v>45675.68</v>
      </c>
      <c r="G435" s="17">
        <v>24</v>
      </c>
      <c r="H435" s="31">
        <v>147027.03</v>
      </c>
      <c r="I435" s="31">
        <f t="shared" si="25"/>
        <v>949189.29</v>
      </c>
      <c r="J435" s="16">
        <f t="shared" si="26"/>
        <v>870090.1825</v>
      </c>
      <c r="K435">
        <v>12</v>
      </c>
      <c r="L435" s="16">
        <f t="shared" si="27"/>
        <v>104410.8219</v>
      </c>
      <c r="M435">
        <v>0</v>
      </c>
      <c r="N435" s="16">
        <f t="shared" si="28"/>
        <v>0</v>
      </c>
    </row>
    <row r="436" spans="1:14" x14ac:dyDescent="0.25">
      <c r="A436" s="29">
        <v>30</v>
      </c>
      <c r="B436" t="s">
        <v>28</v>
      </c>
      <c r="C436" s="1" t="s">
        <v>29</v>
      </c>
      <c r="D436" t="s">
        <v>1332</v>
      </c>
      <c r="E436" t="s">
        <v>569</v>
      </c>
      <c r="F436" s="31">
        <v>176846.85</v>
      </c>
      <c r="G436" s="17">
        <v>12</v>
      </c>
      <c r="H436" s="31">
        <v>282162.15999999997</v>
      </c>
      <c r="I436" s="31">
        <f t="shared" si="25"/>
        <v>1840000.0400000003</v>
      </c>
      <c r="J436" s="16">
        <f t="shared" si="26"/>
        <v>1686666.7033333336</v>
      </c>
      <c r="K436">
        <v>12</v>
      </c>
      <c r="L436" s="16">
        <f t="shared" si="27"/>
        <v>202400.00440000006</v>
      </c>
      <c r="M436">
        <v>0</v>
      </c>
      <c r="N436" s="16">
        <f t="shared" si="28"/>
        <v>0</v>
      </c>
    </row>
    <row r="437" spans="1:14" x14ac:dyDescent="0.25">
      <c r="A437" s="29">
        <v>31</v>
      </c>
      <c r="B437" t="s">
        <v>28</v>
      </c>
      <c r="C437" s="1" t="s">
        <v>29</v>
      </c>
      <c r="D437" t="s">
        <v>1366</v>
      </c>
      <c r="E437" t="s">
        <v>569</v>
      </c>
      <c r="F437" s="31">
        <v>581981.98</v>
      </c>
      <c r="G437" s="17">
        <v>16</v>
      </c>
      <c r="H437" s="31">
        <v>2606126.13</v>
      </c>
      <c r="I437" s="31">
        <f t="shared" si="25"/>
        <v>6705585.5499999998</v>
      </c>
      <c r="J437" s="16">
        <f t="shared" si="26"/>
        <v>6146786.7541666664</v>
      </c>
      <c r="K437">
        <v>12</v>
      </c>
      <c r="L437" s="16">
        <f t="shared" si="27"/>
        <v>737614.4105</v>
      </c>
      <c r="M437">
        <v>0</v>
      </c>
      <c r="N437" s="16">
        <f t="shared" si="28"/>
        <v>0</v>
      </c>
    </row>
    <row r="438" spans="1:14" x14ac:dyDescent="0.25">
      <c r="A438" s="29">
        <v>31</v>
      </c>
      <c r="B438" t="s">
        <v>28</v>
      </c>
      <c r="C438" s="1" t="s">
        <v>29</v>
      </c>
      <c r="D438" t="s">
        <v>1366</v>
      </c>
      <c r="E438" t="s">
        <v>569</v>
      </c>
      <c r="F438" s="31">
        <v>581981.98</v>
      </c>
      <c r="G438" s="17">
        <v>4</v>
      </c>
      <c r="H438" s="31">
        <f>G438*F438</f>
        <v>2327927.92</v>
      </c>
      <c r="I438" s="31">
        <f t="shared" si="25"/>
        <v>0</v>
      </c>
      <c r="J438" s="16">
        <f t="shared" si="26"/>
        <v>0</v>
      </c>
      <c r="K438">
        <v>12</v>
      </c>
      <c r="L438" s="16">
        <f t="shared" si="27"/>
        <v>0</v>
      </c>
      <c r="M438">
        <v>0</v>
      </c>
      <c r="N438" s="16">
        <f t="shared" si="28"/>
        <v>0</v>
      </c>
    </row>
    <row r="439" spans="1:14" x14ac:dyDescent="0.25">
      <c r="A439" s="29">
        <v>32</v>
      </c>
      <c r="B439" t="s">
        <v>28</v>
      </c>
      <c r="C439" s="1" t="s">
        <v>29</v>
      </c>
      <c r="D439" t="s">
        <v>1258</v>
      </c>
      <c r="E439" t="s">
        <v>569</v>
      </c>
      <c r="F439" s="31">
        <v>3752.73</v>
      </c>
      <c r="G439" s="17">
        <v>72</v>
      </c>
      <c r="H439" s="31">
        <v>2701.8</v>
      </c>
      <c r="I439" s="31">
        <f t="shared" si="25"/>
        <v>267494.76</v>
      </c>
      <c r="J439" s="16">
        <f t="shared" si="26"/>
        <v>245203.53</v>
      </c>
      <c r="K439">
        <v>12</v>
      </c>
      <c r="L439" s="16">
        <f t="shared" si="27"/>
        <v>29424.423599999998</v>
      </c>
      <c r="M439">
        <v>0</v>
      </c>
      <c r="N439" s="16">
        <f t="shared" si="28"/>
        <v>0</v>
      </c>
    </row>
    <row r="440" spans="1:14" x14ac:dyDescent="0.25">
      <c r="A440" s="29">
        <v>32</v>
      </c>
      <c r="B440" t="s">
        <v>28</v>
      </c>
      <c r="C440" s="1" t="s">
        <v>29</v>
      </c>
      <c r="D440" t="s">
        <v>1259</v>
      </c>
      <c r="E440" t="s">
        <v>569</v>
      </c>
      <c r="F440" s="31">
        <v>4571.63</v>
      </c>
      <c r="G440" s="17">
        <v>72</v>
      </c>
      <c r="H440" s="31">
        <v>3291.89</v>
      </c>
      <c r="I440" s="31">
        <f t="shared" si="25"/>
        <v>325865.46999999997</v>
      </c>
      <c r="J440" s="16">
        <f t="shared" si="26"/>
        <v>298710.0141666666</v>
      </c>
      <c r="K440">
        <v>12</v>
      </c>
      <c r="L440" s="16">
        <f t="shared" si="27"/>
        <v>35845.201699999991</v>
      </c>
      <c r="M440">
        <v>0</v>
      </c>
      <c r="N440" s="16">
        <f t="shared" si="28"/>
        <v>0</v>
      </c>
    </row>
    <row r="441" spans="1:14" x14ac:dyDescent="0.25">
      <c r="A441" s="29">
        <v>32</v>
      </c>
      <c r="B441" t="s">
        <v>28</v>
      </c>
      <c r="C441" s="1" t="s">
        <v>29</v>
      </c>
      <c r="D441" t="s">
        <v>1236</v>
      </c>
      <c r="E441" t="s">
        <v>569</v>
      </c>
      <c r="F441" s="31">
        <v>3966.67</v>
      </c>
      <c r="G441" s="17">
        <v>18</v>
      </c>
      <c r="H441" s="31">
        <v>714.41</v>
      </c>
      <c r="I441" s="31">
        <f t="shared" si="25"/>
        <v>70685.649999999994</v>
      </c>
      <c r="J441" s="16">
        <f t="shared" si="26"/>
        <v>64795.179166666661</v>
      </c>
      <c r="K441">
        <v>12</v>
      </c>
      <c r="L441" s="16">
        <f t="shared" si="27"/>
        <v>7775.4214999999995</v>
      </c>
      <c r="M441">
        <v>0</v>
      </c>
      <c r="N441" s="16">
        <f t="shared" si="28"/>
        <v>0</v>
      </c>
    </row>
    <row r="442" spans="1:14" x14ac:dyDescent="0.25">
      <c r="A442" s="29">
        <v>32</v>
      </c>
      <c r="B442" t="s">
        <v>28</v>
      </c>
      <c r="C442" s="1" t="s">
        <v>29</v>
      </c>
      <c r="D442" t="s">
        <v>1303</v>
      </c>
      <c r="E442" t="s">
        <v>569</v>
      </c>
      <c r="F442" s="31">
        <v>3669.95</v>
      </c>
      <c r="G442" s="17">
        <v>36</v>
      </c>
      <c r="H442" s="31">
        <v>1320.72</v>
      </c>
      <c r="I442" s="31">
        <f t="shared" si="25"/>
        <v>130797.47999999998</v>
      </c>
      <c r="J442" s="16">
        <f t="shared" si="26"/>
        <v>119897.68999999997</v>
      </c>
      <c r="K442">
        <v>12</v>
      </c>
      <c r="L442" s="16">
        <f t="shared" si="27"/>
        <v>14387.722799999998</v>
      </c>
      <c r="M442">
        <v>0</v>
      </c>
      <c r="N442" s="16">
        <f t="shared" si="28"/>
        <v>0</v>
      </c>
    </row>
    <row r="443" spans="1:14" x14ac:dyDescent="0.25">
      <c r="A443" s="29">
        <v>32</v>
      </c>
      <c r="B443" t="s">
        <v>28</v>
      </c>
      <c r="C443" s="1" t="s">
        <v>29</v>
      </c>
      <c r="D443" t="s">
        <v>1218</v>
      </c>
      <c r="E443" t="s">
        <v>569</v>
      </c>
      <c r="F443" s="31">
        <v>7411.11</v>
      </c>
      <c r="G443" s="17">
        <v>18</v>
      </c>
      <c r="H443" s="31">
        <v>1334.23</v>
      </c>
      <c r="I443" s="31">
        <f t="shared" si="25"/>
        <v>132065.74999999997</v>
      </c>
      <c r="J443" s="16">
        <f t="shared" si="26"/>
        <v>121060.2708333333</v>
      </c>
      <c r="K443">
        <v>12</v>
      </c>
      <c r="L443" s="16">
        <f t="shared" si="27"/>
        <v>14527.232499999995</v>
      </c>
      <c r="M443">
        <v>0</v>
      </c>
      <c r="N443" s="16">
        <f t="shared" si="28"/>
        <v>0</v>
      </c>
    </row>
    <row r="444" spans="1:14" x14ac:dyDescent="0.25">
      <c r="A444" s="29">
        <v>32</v>
      </c>
      <c r="B444" t="s">
        <v>28</v>
      </c>
      <c r="C444" s="1" t="s">
        <v>29</v>
      </c>
      <c r="D444" t="s">
        <v>1219</v>
      </c>
      <c r="E444" t="s">
        <v>569</v>
      </c>
      <c r="F444" s="31">
        <v>7636.09</v>
      </c>
      <c r="G444" s="17">
        <v>18</v>
      </c>
      <c r="H444" s="31">
        <v>1373.87</v>
      </c>
      <c r="I444" s="31">
        <f t="shared" si="25"/>
        <v>136075.75</v>
      </c>
      <c r="J444" s="16">
        <f t="shared" si="26"/>
        <v>124736.10416666666</v>
      </c>
      <c r="K444">
        <v>12</v>
      </c>
      <c r="L444" s="16">
        <f t="shared" si="27"/>
        <v>14968.3325</v>
      </c>
      <c r="M444">
        <v>0</v>
      </c>
      <c r="N444" s="16">
        <f t="shared" si="28"/>
        <v>0</v>
      </c>
    </row>
    <row r="445" spans="1:14" x14ac:dyDescent="0.25">
      <c r="A445" s="29">
        <v>32</v>
      </c>
      <c r="B445" t="s">
        <v>28</v>
      </c>
      <c r="C445" s="1" t="s">
        <v>29</v>
      </c>
      <c r="D445" t="s">
        <v>1247</v>
      </c>
      <c r="E445" t="s">
        <v>569</v>
      </c>
      <c r="F445" s="31">
        <v>974.43</v>
      </c>
      <c r="G445" s="17">
        <v>150</v>
      </c>
      <c r="H445" s="31">
        <v>1462.16</v>
      </c>
      <c r="I445" s="31">
        <f t="shared" si="25"/>
        <v>144702.34</v>
      </c>
      <c r="J445" s="16">
        <f t="shared" si="26"/>
        <v>132643.81166666665</v>
      </c>
      <c r="K445">
        <v>12</v>
      </c>
      <c r="L445" s="16">
        <f t="shared" si="27"/>
        <v>15917.257399999997</v>
      </c>
      <c r="M445">
        <v>0</v>
      </c>
      <c r="N445" s="16">
        <f t="shared" si="28"/>
        <v>0</v>
      </c>
    </row>
    <row r="446" spans="1:14" x14ac:dyDescent="0.25">
      <c r="A446" s="29">
        <v>32</v>
      </c>
      <c r="B446" t="s">
        <v>28</v>
      </c>
      <c r="C446" s="1" t="s">
        <v>29</v>
      </c>
      <c r="D446" t="s">
        <v>1248</v>
      </c>
      <c r="E446" t="s">
        <v>569</v>
      </c>
      <c r="F446" s="31">
        <v>974.43</v>
      </c>
      <c r="G446" s="17">
        <v>60</v>
      </c>
      <c r="H446" s="31">
        <v>584.67999999999995</v>
      </c>
      <c r="I446" s="31">
        <f t="shared" si="25"/>
        <v>57881.119999999995</v>
      </c>
      <c r="J446" s="16">
        <f t="shared" si="26"/>
        <v>53057.693333333329</v>
      </c>
      <c r="K446">
        <v>12</v>
      </c>
      <c r="L446" s="16">
        <f t="shared" si="27"/>
        <v>6366.9231999999993</v>
      </c>
      <c r="M446">
        <v>0</v>
      </c>
      <c r="N446" s="16">
        <f t="shared" si="28"/>
        <v>0</v>
      </c>
    </row>
    <row r="447" spans="1:14" x14ac:dyDescent="0.25">
      <c r="A447" s="29">
        <v>33</v>
      </c>
      <c r="B447" t="s">
        <v>28</v>
      </c>
      <c r="C447" s="1" t="s">
        <v>29</v>
      </c>
      <c r="D447" t="s">
        <v>1389</v>
      </c>
      <c r="E447" t="s">
        <v>569</v>
      </c>
      <c r="F447" s="31">
        <v>956.17</v>
      </c>
      <c r="G447" s="17">
        <v>250</v>
      </c>
      <c r="H447" s="31">
        <v>11786.49</v>
      </c>
      <c r="I447" s="31">
        <f t="shared" si="25"/>
        <v>227256.01</v>
      </c>
      <c r="J447" s="16">
        <f t="shared" si="26"/>
        <v>208318.00916666666</v>
      </c>
      <c r="K447">
        <v>12</v>
      </c>
      <c r="L447" s="16">
        <f t="shared" si="27"/>
        <v>24998.161099999998</v>
      </c>
      <c r="M447">
        <v>0</v>
      </c>
      <c r="N447" s="16">
        <f t="shared" si="28"/>
        <v>0</v>
      </c>
    </row>
    <row r="448" spans="1:14" x14ac:dyDescent="0.25">
      <c r="A448" s="29">
        <v>33</v>
      </c>
      <c r="B448" t="s">
        <v>28</v>
      </c>
      <c r="C448" s="1" t="s">
        <v>29</v>
      </c>
      <c r="D448" t="s">
        <v>1377</v>
      </c>
      <c r="E448" t="s">
        <v>569</v>
      </c>
      <c r="F448" s="31">
        <v>956.17</v>
      </c>
      <c r="G448" s="17">
        <v>250</v>
      </c>
      <c r="H448" s="31">
        <v>11786.49</v>
      </c>
      <c r="I448" s="31">
        <f t="shared" si="25"/>
        <v>227256.01</v>
      </c>
      <c r="J448" s="16">
        <f t="shared" si="26"/>
        <v>208318.00916666666</v>
      </c>
      <c r="K448">
        <v>12</v>
      </c>
      <c r="L448" s="16">
        <f t="shared" si="27"/>
        <v>24998.161099999998</v>
      </c>
      <c r="M448">
        <v>0</v>
      </c>
      <c r="N448" s="16">
        <f t="shared" si="28"/>
        <v>0</v>
      </c>
    </row>
    <row r="449" spans="1:14" x14ac:dyDescent="0.25">
      <c r="A449" s="29">
        <v>33</v>
      </c>
      <c r="B449" t="s">
        <v>28</v>
      </c>
      <c r="C449" s="1" t="s">
        <v>29</v>
      </c>
      <c r="D449" t="s">
        <v>1240</v>
      </c>
      <c r="E449" t="s">
        <v>569</v>
      </c>
      <c r="F449" s="31">
        <v>956.17</v>
      </c>
      <c r="G449" s="17">
        <v>250</v>
      </c>
      <c r="H449" s="31">
        <v>11786.49</v>
      </c>
      <c r="I449" s="31">
        <f t="shared" si="25"/>
        <v>227256.01</v>
      </c>
      <c r="J449" s="16">
        <f t="shared" si="26"/>
        <v>208318.00916666666</v>
      </c>
      <c r="K449">
        <v>12</v>
      </c>
      <c r="L449" s="16">
        <f t="shared" si="27"/>
        <v>24998.161099999998</v>
      </c>
      <c r="M449">
        <v>0</v>
      </c>
      <c r="N449" s="16">
        <f t="shared" si="28"/>
        <v>0</v>
      </c>
    </row>
    <row r="450" spans="1:14" x14ac:dyDescent="0.25">
      <c r="A450" s="29">
        <v>33</v>
      </c>
      <c r="B450" t="s">
        <v>28</v>
      </c>
      <c r="C450" s="1" t="s">
        <v>29</v>
      </c>
      <c r="D450" t="s">
        <v>1242</v>
      </c>
      <c r="E450" t="s">
        <v>569</v>
      </c>
      <c r="F450" s="31">
        <v>956.17</v>
      </c>
      <c r="G450" s="17">
        <v>250</v>
      </c>
      <c r="H450" s="31">
        <v>11786.49</v>
      </c>
      <c r="I450" s="31">
        <f t="shared" si="25"/>
        <v>227256.01</v>
      </c>
      <c r="J450" s="16">
        <f t="shared" si="26"/>
        <v>208318.00916666666</v>
      </c>
      <c r="K450">
        <v>12</v>
      </c>
      <c r="L450" s="16">
        <f t="shared" si="27"/>
        <v>24998.161099999998</v>
      </c>
      <c r="M450">
        <v>0</v>
      </c>
      <c r="N450" s="16">
        <f t="shared" si="28"/>
        <v>0</v>
      </c>
    </row>
    <row r="451" spans="1:14" x14ac:dyDescent="0.25">
      <c r="A451" s="29">
        <v>33</v>
      </c>
      <c r="B451" t="s">
        <v>28</v>
      </c>
      <c r="C451" s="1" t="s">
        <v>29</v>
      </c>
      <c r="D451" t="s">
        <v>1298</v>
      </c>
      <c r="E451" t="s">
        <v>569</v>
      </c>
      <c r="F451" s="31">
        <v>270.49</v>
      </c>
      <c r="G451" s="17">
        <v>720</v>
      </c>
      <c r="H451" s="31">
        <v>9602.7000000000007</v>
      </c>
      <c r="I451" s="31">
        <f t="shared" ref="I451:I514" si="29">G451*F451-H451</f>
        <v>185150.1</v>
      </c>
      <c r="J451" s="16">
        <f t="shared" ref="J451:J514" si="30">11/12*I451</f>
        <v>169720.92499999999</v>
      </c>
      <c r="K451">
        <v>12</v>
      </c>
      <c r="L451" s="16">
        <f t="shared" ref="L451:L514" si="31">J451*K451/100</f>
        <v>20366.510999999999</v>
      </c>
      <c r="M451">
        <v>0</v>
      </c>
      <c r="N451" s="16">
        <f t="shared" ref="N451:N514" si="32">M451*J451/100</f>
        <v>0</v>
      </c>
    </row>
    <row r="452" spans="1:14" x14ac:dyDescent="0.25">
      <c r="A452" s="29">
        <v>33</v>
      </c>
      <c r="B452" t="s">
        <v>28</v>
      </c>
      <c r="C452" s="1" t="s">
        <v>29</v>
      </c>
      <c r="D452" t="s">
        <v>1300</v>
      </c>
      <c r="E452" t="s">
        <v>569</v>
      </c>
      <c r="F452" s="31">
        <v>270.49</v>
      </c>
      <c r="G452" s="17">
        <v>720</v>
      </c>
      <c r="H452" s="31">
        <v>9602.7000000000007</v>
      </c>
      <c r="I452" s="31">
        <f t="shared" si="29"/>
        <v>185150.1</v>
      </c>
      <c r="J452" s="16">
        <f t="shared" si="30"/>
        <v>169720.92499999999</v>
      </c>
      <c r="K452">
        <v>12</v>
      </c>
      <c r="L452" s="16">
        <f t="shared" si="31"/>
        <v>20366.510999999999</v>
      </c>
      <c r="M452">
        <v>0</v>
      </c>
      <c r="N452" s="16">
        <f t="shared" si="32"/>
        <v>0</v>
      </c>
    </row>
    <row r="453" spans="1:14" x14ac:dyDescent="0.25">
      <c r="A453" s="29">
        <v>33</v>
      </c>
      <c r="B453" t="s">
        <v>28</v>
      </c>
      <c r="C453" s="1" t="s">
        <v>29</v>
      </c>
      <c r="D453" t="s">
        <v>1263</v>
      </c>
      <c r="E453" t="s">
        <v>569</v>
      </c>
      <c r="F453" s="31">
        <v>257.52</v>
      </c>
      <c r="G453" s="17">
        <v>720</v>
      </c>
      <c r="H453" s="31">
        <v>9142.34</v>
      </c>
      <c r="I453" s="31">
        <f t="shared" si="29"/>
        <v>176272.06</v>
      </c>
      <c r="J453" s="16">
        <f t="shared" si="30"/>
        <v>161582.72166666665</v>
      </c>
      <c r="K453">
        <v>12</v>
      </c>
      <c r="L453" s="16">
        <f t="shared" si="31"/>
        <v>19389.926599999995</v>
      </c>
      <c r="M453">
        <v>0</v>
      </c>
      <c r="N453" s="16">
        <f t="shared" si="32"/>
        <v>0</v>
      </c>
    </row>
    <row r="454" spans="1:14" x14ac:dyDescent="0.25">
      <c r="A454" s="29">
        <v>33</v>
      </c>
      <c r="B454" t="s">
        <v>28</v>
      </c>
      <c r="C454" s="1" t="s">
        <v>29</v>
      </c>
      <c r="D454" t="s">
        <v>1302</v>
      </c>
      <c r="E454" t="s">
        <v>569</v>
      </c>
      <c r="F454" s="31">
        <v>257.52</v>
      </c>
      <c r="G454" s="17">
        <v>720</v>
      </c>
      <c r="H454" s="31">
        <v>9142.34</v>
      </c>
      <c r="I454" s="31">
        <f t="shared" si="29"/>
        <v>176272.06</v>
      </c>
      <c r="J454" s="16">
        <f t="shared" si="30"/>
        <v>161582.72166666665</v>
      </c>
      <c r="K454">
        <v>12</v>
      </c>
      <c r="L454" s="16">
        <f t="shared" si="31"/>
        <v>19389.926599999995</v>
      </c>
      <c r="M454">
        <v>0</v>
      </c>
      <c r="N454" s="16">
        <f t="shared" si="32"/>
        <v>0</v>
      </c>
    </row>
    <row r="455" spans="1:14" x14ac:dyDescent="0.25">
      <c r="A455" s="29">
        <v>33</v>
      </c>
      <c r="B455" t="s">
        <v>28</v>
      </c>
      <c r="C455" s="1" t="s">
        <v>29</v>
      </c>
      <c r="D455" t="s">
        <v>1344</v>
      </c>
      <c r="E455" t="s">
        <v>569</v>
      </c>
      <c r="F455" s="31">
        <v>257.52</v>
      </c>
      <c r="G455" s="17">
        <v>720</v>
      </c>
      <c r="H455" s="31">
        <v>9142.34</v>
      </c>
      <c r="I455" s="31">
        <f t="shared" si="29"/>
        <v>176272.06</v>
      </c>
      <c r="J455" s="16">
        <f t="shared" si="30"/>
        <v>161582.72166666665</v>
      </c>
      <c r="K455">
        <v>12</v>
      </c>
      <c r="L455" s="16">
        <f t="shared" si="31"/>
        <v>19389.926599999995</v>
      </c>
      <c r="M455">
        <v>0</v>
      </c>
      <c r="N455" s="16">
        <f t="shared" si="32"/>
        <v>0</v>
      </c>
    </row>
    <row r="456" spans="1:14" x14ac:dyDescent="0.25">
      <c r="A456" s="29">
        <v>33</v>
      </c>
      <c r="B456" t="s">
        <v>28</v>
      </c>
      <c r="C456" s="1" t="s">
        <v>29</v>
      </c>
      <c r="D456" t="s">
        <v>1390</v>
      </c>
      <c r="E456" t="s">
        <v>569</v>
      </c>
      <c r="F456" s="31">
        <v>956.17</v>
      </c>
      <c r="G456" s="17">
        <v>250</v>
      </c>
      <c r="H456" s="31">
        <v>11786.49</v>
      </c>
      <c r="I456" s="31">
        <f t="shared" si="29"/>
        <v>227256.01</v>
      </c>
      <c r="J456" s="16">
        <f t="shared" si="30"/>
        <v>208318.00916666666</v>
      </c>
      <c r="K456">
        <v>12</v>
      </c>
      <c r="L456" s="16">
        <f t="shared" si="31"/>
        <v>24998.161099999998</v>
      </c>
      <c r="M456">
        <v>0</v>
      </c>
      <c r="N456" s="16">
        <f t="shared" si="32"/>
        <v>0</v>
      </c>
    </row>
    <row r="457" spans="1:14" x14ac:dyDescent="0.25">
      <c r="A457" s="29">
        <v>33</v>
      </c>
      <c r="B457" t="s">
        <v>28</v>
      </c>
      <c r="C457" s="1" t="s">
        <v>29</v>
      </c>
      <c r="D457" t="s">
        <v>1391</v>
      </c>
      <c r="E457" t="s">
        <v>569</v>
      </c>
      <c r="F457" s="31">
        <v>956.17</v>
      </c>
      <c r="G457" s="17">
        <v>250</v>
      </c>
      <c r="H457" s="31">
        <v>11786.49</v>
      </c>
      <c r="I457" s="31">
        <f t="shared" si="29"/>
        <v>227256.01</v>
      </c>
      <c r="J457" s="16">
        <f t="shared" si="30"/>
        <v>208318.00916666666</v>
      </c>
      <c r="K457">
        <v>12</v>
      </c>
      <c r="L457" s="16">
        <f t="shared" si="31"/>
        <v>24998.161099999998</v>
      </c>
      <c r="M457">
        <v>0</v>
      </c>
      <c r="N457" s="16">
        <f t="shared" si="32"/>
        <v>0</v>
      </c>
    </row>
    <row r="458" spans="1:14" x14ac:dyDescent="0.25">
      <c r="A458" s="29">
        <v>33</v>
      </c>
      <c r="B458" t="s">
        <v>28</v>
      </c>
      <c r="C458" s="1" t="s">
        <v>29</v>
      </c>
      <c r="D458" t="s">
        <v>1305</v>
      </c>
      <c r="E458" t="s">
        <v>569</v>
      </c>
      <c r="F458" s="31">
        <v>956.17</v>
      </c>
      <c r="G458" s="17">
        <v>250</v>
      </c>
      <c r="H458" s="31">
        <v>11786.49</v>
      </c>
      <c r="I458" s="31">
        <f t="shared" si="29"/>
        <v>227256.01</v>
      </c>
      <c r="J458" s="16">
        <f t="shared" si="30"/>
        <v>208318.00916666666</v>
      </c>
      <c r="K458">
        <v>12</v>
      </c>
      <c r="L458" s="16">
        <f t="shared" si="31"/>
        <v>24998.161099999998</v>
      </c>
      <c r="M458">
        <v>0</v>
      </c>
      <c r="N458" s="16">
        <f t="shared" si="32"/>
        <v>0</v>
      </c>
    </row>
    <row r="459" spans="1:14" x14ac:dyDescent="0.25">
      <c r="A459" s="29">
        <v>33</v>
      </c>
      <c r="B459" t="s">
        <v>28</v>
      </c>
      <c r="C459" s="1" t="s">
        <v>29</v>
      </c>
      <c r="D459" t="s">
        <v>1392</v>
      </c>
      <c r="E459" t="s">
        <v>569</v>
      </c>
      <c r="F459" s="31">
        <v>257.52</v>
      </c>
      <c r="G459" s="17">
        <v>720</v>
      </c>
      <c r="H459" s="31">
        <v>9142.34</v>
      </c>
      <c r="I459" s="31">
        <f t="shared" si="29"/>
        <v>176272.06</v>
      </c>
      <c r="J459" s="16">
        <f t="shared" si="30"/>
        <v>161582.72166666665</v>
      </c>
      <c r="K459">
        <v>12</v>
      </c>
      <c r="L459" s="16">
        <f t="shared" si="31"/>
        <v>19389.926599999995</v>
      </c>
      <c r="M459">
        <v>0</v>
      </c>
      <c r="N459" s="16">
        <f t="shared" si="32"/>
        <v>0</v>
      </c>
    </row>
    <row r="460" spans="1:14" x14ac:dyDescent="0.25">
      <c r="A460" s="29">
        <v>33</v>
      </c>
      <c r="B460" t="s">
        <v>28</v>
      </c>
      <c r="C460" s="1" t="s">
        <v>29</v>
      </c>
      <c r="D460" t="s">
        <v>1266</v>
      </c>
      <c r="E460" t="s">
        <v>569</v>
      </c>
      <c r="F460" s="31">
        <v>257.52</v>
      </c>
      <c r="G460" s="17">
        <v>1440</v>
      </c>
      <c r="H460" s="31">
        <v>18283.79</v>
      </c>
      <c r="I460" s="31">
        <f t="shared" si="29"/>
        <v>352545.01</v>
      </c>
      <c r="J460" s="16">
        <f t="shared" si="30"/>
        <v>323166.25916666666</v>
      </c>
      <c r="K460">
        <v>12</v>
      </c>
      <c r="L460" s="16">
        <f t="shared" si="31"/>
        <v>38779.951099999998</v>
      </c>
      <c r="M460">
        <v>0</v>
      </c>
      <c r="N460" s="16">
        <f t="shared" si="32"/>
        <v>0</v>
      </c>
    </row>
    <row r="461" spans="1:14" x14ac:dyDescent="0.25">
      <c r="A461" s="29">
        <v>33</v>
      </c>
      <c r="B461" t="s">
        <v>28</v>
      </c>
      <c r="C461" s="1" t="s">
        <v>29</v>
      </c>
      <c r="D461" t="s">
        <v>1393</v>
      </c>
      <c r="E461" t="s">
        <v>569</v>
      </c>
      <c r="F461" s="31">
        <v>257.52</v>
      </c>
      <c r="G461" s="17">
        <v>720</v>
      </c>
      <c r="H461" s="31">
        <v>9142.34</v>
      </c>
      <c r="I461" s="31">
        <f t="shared" si="29"/>
        <v>176272.06</v>
      </c>
      <c r="J461" s="16">
        <f t="shared" si="30"/>
        <v>161582.72166666665</v>
      </c>
      <c r="K461">
        <v>12</v>
      </c>
      <c r="L461" s="16">
        <f t="shared" si="31"/>
        <v>19389.926599999995</v>
      </c>
      <c r="M461">
        <v>0</v>
      </c>
      <c r="N461" s="16">
        <f t="shared" si="32"/>
        <v>0</v>
      </c>
    </row>
    <row r="462" spans="1:14" x14ac:dyDescent="0.25">
      <c r="A462" s="29">
        <v>33</v>
      </c>
      <c r="B462" t="s">
        <v>28</v>
      </c>
      <c r="C462" s="1" t="s">
        <v>29</v>
      </c>
      <c r="D462" t="s">
        <v>1267</v>
      </c>
      <c r="E462" t="s">
        <v>569</v>
      </c>
      <c r="F462" s="31">
        <v>257.52</v>
      </c>
      <c r="G462" s="17">
        <v>720</v>
      </c>
      <c r="H462" s="31">
        <v>9142.34</v>
      </c>
      <c r="I462" s="31">
        <f t="shared" si="29"/>
        <v>176272.06</v>
      </c>
      <c r="J462" s="16">
        <f t="shared" si="30"/>
        <v>161582.72166666665</v>
      </c>
      <c r="K462">
        <v>12</v>
      </c>
      <c r="L462" s="16">
        <f t="shared" si="31"/>
        <v>19389.926599999995</v>
      </c>
      <c r="M462">
        <v>0</v>
      </c>
      <c r="N462" s="16">
        <f t="shared" si="32"/>
        <v>0</v>
      </c>
    </row>
    <row r="463" spans="1:14" x14ac:dyDescent="0.25">
      <c r="A463" s="29">
        <v>34</v>
      </c>
      <c r="B463" t="s">
        <v>28</v>
      </c>
      <c r="C463" s="1" t="s">
        <v>29</v>
      </c>
      <c r="D463" t="s">
        <v>1314</v>
      </c>
      <c r="E463" t="s">
        <v>569</v>
      </c>
      <c r="F463" s="31">
        <v>956.17</v>
      </c>
      <c r="G463" s="17">
        <v>1250</v>
      </c>
      <c r="H463" s="31">
        <v>47449.55</v>
      </c>
      <c r="I463" s="31">
        <f t="shared" si="29"/>
        <v>1147762.95</v>
      </c>
      <c r="J463" s="16">
        <f t="shared" si="30"/>
        <v>1052116.0374999999</v>
      </c>
      <c r="K463">
        <v>12</v>
      </c>
      <c r="L463" s="16">
        <f t="shared" si="31"/>
        <v>126253.92449999999</v>
      </c>
      <c r="M463">
        <v>0</v>
      </c>
      <c r="N463" s="16">
        <f t="shared" si="32"/>
        <v>0</v>
      </c>
    </row>
    <row r="464" spans="1:14" x14ac:dyDescent="0.25">
      <c r="A464" s="29">
        <v>34</v>
      </c>
      <c r="B464" t="s">
        <v>28</v>
      </c>
      <c r="C464" s="1" t="s">
        <v>29</v>
      </c>
      <c r="D464" t="s">
        <v>1340</v>
      </c>
      <c r="E464" t="s">
        <v>569</v>
      </c>
      <c r="F464" s="31">
        <v>956.17</v>
      </c>
      <c r="G464" s="17">
        <v>500</v>
      </c>
      <c r="H464" s="31">
        <v>18980.18</v>
      </c>
      <c r="I464" s="31">
        <f t="shared" si="29"/>
        <v>459104.82</v>
      </c>
      <c r="J464" s="16">
        <f t="shared" si="30"/>
        <v>420846.08499999996</v>
      </c>
      <c r="K464">
        <v>12</v>
      </c>
      <c r="L464" s="16">
        <f t="shared" si="31"/>
        <v>50501.530199999994</v>
      </c>
      <c r="M464">
        <v>0</v>
      </c>
      <c r="N464" s="16">
        <f t="shared" si="32"/>
        <v>0</v>
      </c>
    </row>
    <row r="465" spans="1:14" x14ac:dyDescent="0.25">
      <c r="A465" s="29">
        <v>34</v>
      </c>
      <c r="B465" t="s">
        <v>28</v>
      </c>
      <c r="C465" s="1" t="s">
        <v>29</v>
      </c>
      <c r="D465" t="s">
        <v>1262</v>
      </c>
      <c r="E465" t="s">
        <v>569</v>
      </c>
      <c r="F465" s="31">
        <v>956.17</v>
      </c>
      <c r="G465" s="17">
        <v>1250</v>
      </c>
      <c r="H465" s="31">
        <v>47449.55</v>
      </c>
      <c r="I465" s="31">
        <f t="shared" si="29"/>
        <v>1147762.95</v>
      </c>
      <c r="J465" s="16">
        <f t="shared" si="30"/>
        <v>1052116.0374999999</v>
      </c>
      <c r="K465">
        <v>12</v>
      </c>
      <c r="L465" s="16">
        <f t="shared" si="31"/>
        <v>126253.92449999999</v>
      </c>
      <c r="M465">
        <v>0</v>
      </c>
      <c r="N465" s="16">
        <f t="shared" si="32"/>
        <v>0</v>
      </c>
    </row>
    <row r="466" spans="1:14" x14ac:dyDescent="0.25">
      <c r="A466" s="29">
        <v>34</v>
      </c>
      <c r="B466" t="s">
        <v>28</v>
      </c>
      <c r="C466" s="1" t="s">
        <v>29</v>
      </c>
      <c r="D466" t="s">
        <v>1341</v>
      </c>
      <c r="E466" t="s">
        <v>569</v>
      </c>
      <c r="F466" s="31">
        <v>956.17</v>
      </c>
      <c r="G466" s="17">
        <v>250</v>
      </c>
      <c r="H466" s="31">
        <v>9490.09</v>
      </c>
      <c r="I466" s="31">
        <f t="shared" si="29"/>
        <v>229552.41</v>
      </c>
      <c r="J466" s="16">
        <f t="shared" si="30"/>
        <v>210423.04249999998</v>
      </c>
      <c r="K466">
        <v>12</v>
      </c>
      <c r="L466" s="16">
        <f t="shared" si="31"/>
        <v>25250.765099999997</v>
      </c>
      <c r="M466">
        <v>0</v>
      </c>
      <c r="N466" s="16">
        <f t="shared" si="32"/>
        <v>0</v>
      </c>
    </row>
    <row r="467" spans="1:14" x14ac:dyDescent="0.25">
      <c r="A467" s="29">
        <v>34</v>
      </c>
      <c r="B467" t="s">
        <v>28</v>
      </c>
      <c r="C467" s="1" t="s">
        <v>29</v>
      </c>
      <c r="D467" t="s">
        <v>1239</v>
      </c>
      <c r="E467" t="s">
        <v>569</v>
      </c>
      <c r="F467" s="31">
        <v>956.17</v>
      </c>
      <c r="G467" s="17">
        <v>1250</v>
      </c>
      <c r="H467" s="31">
        <v>47449.55</v>
      </c>
      <c r="I467" s="31">
        <f t="shared" si="29"/>
        <v>1147762.95</v>
      </c>
      <c r="J467" s="16">
        <f t="shared" si="30"/>
        <v>1052116.0374999999</v>
      </c>
      <c r="K467">
        <v>12</v>
      </c>
      <c r="L467" s="16">
        <f t="shared" si="31"/>
        <v>126253.92449999999</v>
      </c>
      <c r="M467">
        <v>0</v>
      </c>
      <c r="N467" s="16">
        <f t="shared" si="32"/>
        <v>0</v>
      </c>
    </row>
    <row r="468" spans="1:14" x14ac:dyDescent="0.25">
      <c r="A468" s="29">
        <v>34</v>
      </c>
      <c r="B468" t="s">
        <v>28</v>
      </c>
      <c r="C468" s="1" t="s">
        <v>29</v>
      </c>
      <c r="D468" t="s">
        <v>1394</v>
      </c>
      <c r="E468" t="s">
        <v>569</v>
      </c>
      <c r="F468" s="31">
        <v>956.17</v>
      </c>
      <c r="G468" s="17">
        <v>500</v>
      </c>
      <c r="H468" s="31">
        <v>18980.18</v>
      </c>
      <c r="I468" s="31">
        <f t="shared" si="29"/>
        <v>459104.82</v>
      </c>
      <c r="J468" s="16">
        <f t="shared" si="30"/>
        <v>420846.08499999996</v>
      </c>
      <c r="K468">
        <v>12</v>
      </c>
      <c r="L468" s="16">
        <f t="shared" si="31"/>
        <v>50501.530199999994</v>
      </c>
      <c r="M468">
        <v>0</v>
      </c>
      <c r="N468" s="16">
        <f t="shared" si="32"/>
        <v>0</v>
      </c>
    </row>
    <row r="469" spans="1:14" x14ac:dyDescent="0.25">
      <c r="A469" s="29">
        <v>34</v>
      </c>
      <c r="B469" t="s">
        <v>28</v>
      </c>
      <c r="C469" s="1" t="s">
        <v>29</v>
      </c>
      <c r="D469" t="s">
        <v>1240</v>
      </c>
      <c r="E469" t="s">
        <v>569</v>
      </c>
      <c r="F469" s="31">
        <v>956.17</v>
      </c>
      <c r="G469" s="17">
        <v>750</v>
      </c>
      <c r="H469" s="31">
        <v>28470.27</v>
      </c>
      <c r="I469" s="31">
        <f t="shared" si="29"/>
        <v>688657.23</v>
      </c>
      <c r="J469" s="16">
        <f t="shared" si="30"/>
        <v>631269.12749999994</v>
      </c>
      <c r="K469">
        <v>12</v>
      </c>
      <c r="L469" s="16">
        <f t="shared" si="31"/>
        <v>75752.295299999998</v>
      </c>
      <c r="M469">
        <v>0</v>
      </c>
      <c r="N469" s="16">
        <f t="shared" si="32"/>
        <v>0</v>
      </c>
    </row>
    <row r="470" spans="1:14" x14ac:dyDescent="0.25">
      <c r="A470" s="29">
        <v>34</v>
      </c>
      <c r="B470" t="s">
        <v>28</v>
      </c>
      <c r="C470" s="1" t="s">
        <v>29</v>
      </c>
      <c r="D470" t="s">
        <v>1241</v>
      </c>
      <c r="E470" t="s">
        <v>569</v>
      </c>
      <c r="F470" s="31">
        <v>956.17</v>
      </c>
      <c r="G470" s="17">
        <v>250</v>
      </c>
      <c r="H470" s="31">
        <v>9490.09</v>
      </c>
      <c r="I470" s="31">
        <f t="shared" si="29"/>
        <v>229552.41</v>
      </c>
      <c r="J470" s="16">
        <f t="shared" si="30"/>
        <v>210423.04249999998</v>
      </c>
      <c r="K470">
        <v>12</v>
      </c>
      <c r="L470" s="16">
        <f t="shared" si="31"/>
        <v>25250.765099999997</v>
      </c>
      <c r="M470">
        <v>0</v>
      </c>
      <c r="N470" s="16">
        <f t="shared" si="32"/>
        <v>0</v>
      </c>
    </row>
    <row r="471" spans="1:14" x14ac:dyDescent="0.25">
      <c r="A471" s="29">
        <v>34</v>
      </c>
      <c r="B471" t="s">
        <v>28</v>
      </c>
      <c r="C471" s="1" t="s">
        <v>29</v>
      </c>
      <c r="D471" t="s">
        <v>1244</v>
      </c>
      <c r="E471" t="s">
        <v>569</v>
      </c>
      <c r="F471" s="31">
        <v>956.17</v>
      </c>
      <c r="G471" s="17">
        <v>1250</v>
      </c>
      <c r="H471" s="31">
        <v>47449.55</v>
      </c>
      <c r="I471" s="31">
        <f t="shared" si="29"/>
        <v>1147762.95</v>
      </c>
      <c r="J471" s="16">
        <f t="shared" si="30"/>
        <v>1052116.0374999999</v>
      </c>
      <c r="K471">
        <v>12</v>
      </c>
      <c r="L471" s="16">
        <f t="shared" si="31"/>
        <v>126253.92449999999</v>
      </c>
      <c r="M471">
        <v>0</v>
      </c>
      <c r="N471" s="16">
        <f t="shared" si="32"/>
        <v>0</v>
      </c>
    </row>
    <row r="472" spans="1:14" x14ac:dyDescent="0.25">
      <c r="A472" s="29">
        <v>34</v>
      </c>
      <c r="B472" t="s">
        <v>28</v>
      </c>
      <c r="C472" s="1" t="s">
        <v>29</v>
      </c>
      <c r="D472" t="s">
        <v>1245</v>
      </c>
      <c r="E472" t="s">
        <v>569</v>
      </c>
      <c r="F472" s="31">
        <v>956.17</v>
      </c>
      <c r="G472" s="17">
        <v>750</v>
      </c>
      <c r="H472" s="31">
        <v>28470.27</v>
      </c>
      <c r="I472" s="31">
        <f t="shared" si="29"/>
        <v>688657.23</v>
      </c>
      <c r="J472" s="16">
        <f t="shared" si="30"/>
        <v>631269.12749999994</v>
      </c>
      <c r="K472">
        <v>12</v>
      </c>
      <c r="L472" s="16">
        <f t="shared" si="31"/>
        <v>75752.295299999998</v>
      </c>
      <c r="M472">
        <v>0</v>
      </c>
      <c r="N472" s="16">
        <f t="shared" si="32"/>
        <v>0</v>
      </c>
    </row>
    <row r="473" spans="1:14" x14ac:dyDescent="0.25">
      <c r="A473" s="29">
        <v>34</v>
      </c>
      <c r="B473" t="s">
        <v>28</v>
      </c>
      <c r="C473" s="1" t="s">
        <v>29</v>
      </c>
      <c r="D473" t="s">
        <v>1317</v>
      </c>
      <c r="E473" t="s">
        <v>569</v>
      </c>
      <c r="F473" s="31">
        <v>956.17</v>
      </c>
      <c r="G473" s="17">
        <v>250</v>
      </c>
      <c r="H473" s="31">
        <v>9490.09</v>
      </c>
      <c r="I473" s="31">
        <f t="shared" si="29"/>
        <v>229552.41</v>
      </c>
      <c r="J473" s="16">
        <f t="shared" si="30"/>
        <v>210423.04249999998</v>
      </c>
      <c r="K473">
        <v>12</v>
      </c>
      <c r="L473" s="16">
        <f t="shared" si="31"/>
        <v>25250.765099999997</v>
      </c>
      <c r="M473">
        <v>0</v>
      </c>
      <c r="N473" s="16">
        <f t="shared" si="32"/>
        <v>0</v>
      </c>
    </row>
    <row r="474" spans="1:14" x14ac:dyDescent="0.25">
      <c r="A474" s="29">
        <v>34</v>
      </c>
      <c r="B474" t="s">
        <v>28</v>
      </c>
      <c r="C474" s="1" t="s">
        <v>29</v>
      </c>
      <c r="D474" t="s">
        <v>1348</v>
      </c>
      <c r="E474" t="s">
        <v>569</v>
      </c>
      <c r="F474" s="31">
        <v>956.17</v>
      </c>
      <c r="G474" s="17">
        <v>300</v>
      </c>
      <c r="H474" s="31">
        <v>11388.289999999999</v>
      </c>
      <c r="I474" s="31">
        <f t="shared" si="29"/>
        <v>275462.71000000002</v>
      </c>
      <c r="J474" s="16">
        <f t="shared" si="30"/>
        <v>252507.48416666666</v>
      </c>
      <c r="K474">
        <v>12</v>
      </c>
      <c r="L474" s="16">
        <f t="shared" si="31"/>
        <v>30300.898100000002</v>
      </c>
      <c r="M474">
        <v>0</v>
      </c>
      <c r="N474" s="16">
        <f t="shared" si="32"/>
        <v>0</v>
      </c>
    </row>
    <row r="475" spans="1:14" x14ac:dyDescent="0.25">
      <c r="A475" s="29">
        <v>34</v>
      </c>
      <c r="B475" t="s">
        <v>28</v>
      </c>
      <c r="C475" s="1" t="s">
        <v>29</v>
      </c>
      <c r="D475" t="s">
        <v>1252</v>
      </c>
      <c r="E475" t="s">
        <v>569</v>
      </c>
      <c r="F475" s="31">
        <v>956.17</v>
      </c>
      <c r="G475" s="17">
        <v>750</v>
      </c>
      <c r="H475" s="31">
        <v>28470.27</v>
      </c>
      <c r="I475" s="31">
        <f t="shared" si="29"/>
        <v>688657.23</v>
      </c>
      <c r="J475" s="16">
        <f t="shared" si="30"/>
        <v>631269.12749999994</v>
      </c>
      <c r="K475">
        <v>12</v>
      </c>
      <c r="L475" s="16">
        <f t="shared" si="31"/>
        <v>75752.295299999998</v>
      </c>
      <c r="M475">
        <v>0</v>
      </c>
      <c r="N475" s="16">
        <f t="shared" si="32"/>
        <v>0</v>
      </c>
    </row>
    <row r="476" spans="1:14" x14ac:dyDescent="0.25">
      <c r="A476" s="29">
        <v>34</v>
      </c>
      <c r="B476" t="s">
        <v>28</v>
      </c>
      <c r="C476" s="1" t="s">
        <v>29</v>
      </c>
      <c r="D476" t="s">
        <v>1305</v>
      </c>
      <c r="E476" t="s">
        <v>569</v>
      </c>
      <c r="F476" s="31">
        <v>956.17</v>
      </c>
      <c r="G476" s="17">
        <v>500</v>
      </c>
      <c r="H476" s="31">
        <v>18980.18</v>
      </c>
      <c r="I476" s="31">
        <f t="shared" si="29"/>
        <v>459104.82</v>
      </c>
      <c r="J476" s="16">
        <f t="shared" si="30"/>
        <v>420846.08499999996</v>
      </c>
      <c r="K476">
        <v>12</v>
      </c>
      <c r="L476" s="16">
        <f t="shared" si="31"/>
        <v>50501.530199999994</v>
      </c>
      <c r="M476">
        <v>0</v>
      </c>
      <c r="N476" s="16">
        <f t="shared" si="32"/>
        <v>0</v>
      </c>
    </row>
    <row r="477" spans="1:14" x14ac:dyDescent="0.25">
      <c r="A477" s="29">
        <v>34</v>
      </c>
      <c r="B477" t="s">
        <v>28</v>
      </c>
      <c r="C477" s="1" t="s">
        <v>29</v>
      </c>
      <c r="D477" t="s">
        <v>1395</v>
      </c>
      <c r="E477" t="s">
        <v>569</v>
      </c>
      <c r="F477" s="31">
        <v>956.17</v>
      </c>
      <c r="G477" s="17">
        <v>240</v>
      </c>
      <c r="H477" s="31">
        <v>9109.91</v>
      </c>
      <c r="I477" s="31">
        <f t="shared" si="29"/>
        <v>220370.88999999998</v>
      </c>
      <c r="J477" s="16">
        <f t="shared" si="30"/>
        <v>202006.64916666664</v>
      </c>
      <c r="K477">
        <v>12</v>
      </c>
      <c r="L477" s="16">
        <f t="shared" si="31"/>
        <v>24240.797899999994</v>
      </c>
      <c r="M477">
        <v>0</v>
      </c>
      <c r="N477" s="16">
        <f t="shared" si="32"/>
        <v>0</v>
      </c>
    </row>
    <row r="478" spans="1:14" x14ac:dyDescent="0.25">
      <c r="A478" s="29">
        <v>35</v>
      </c>
      <c r="B478" t="s">
        <v>28</v>
      </c>
      <c r="C478" s="1" t="s">
        <v>29</v>
      </c>
      <c r="D478" t="s">
        <v>1279</v>
      </c>
      <c r="E478" t="s">
        <v>569</v>
      </c>
      <c r="F478" s="31">
        <v>1503.11</v>
      </c>
      <c r="G478" s="17">
        <v>1440</v>
      </c>
      <c r="H478" s="31">
        <v>64934.23</v>
      </c>
      <c r="I478" s="31">
        <f t="shared" si="29"/>
        <v>2099544.17</v>
      </c>
      <c r="J478" s="16">
        <f t="shared" si="30"/>
        <v>1924582.1558333333</v>
      </c>
      <c r="K478">
        <v>12</v>
      </c>
      <c r="L478" s="16">
        <f t="shared" si="31"/>
        <v>230949.85869999998</v>
      </c>
      <c r="M478">
        <v>0</v>
      </c>
      <c r="N478" s="16">
        <f t="shared" si="32"/>
        <v>0</v>
      </c>
    </row>
    <row r="479" spans="1:14" x14ac:dyDescent="0.25">
      <c r="A479" s="29">
        <v>35</v>
      </c>
      <c r="B479" t="s">
        <v>28</v>
      </c>
      <c r="C479" s="1" t="s">
        <v>29</v>
      </c>
      <c r="D479" t="s">
        <v>1282</v>
      </c>
      <c r="E479" t="s">
        <v>569</v>
      </c>
      <c r="F479" s="31">
        <v>1503.11</v>
      </c>
      <c r="G479" s="17">
        <v>2880</v>
      </c>
      <c r="H479" s="31">
        <v>129869.37</v>
      </c>
      <c r="I479" s="31">
        <f t="shared" si="29"/>
        <v>4199087.43</v>
      </c>
      <c r="J479" s="16">
        <f t="shared" si="30"/>
        <v>3849163.4774999996</v>
      </c>
      <c r="K479">
        <v>12</v>
      </c>
      <c r="L479" s="16">
        <f t="shared" si="31"/>
        <v>461899.61729999998</v>
      </c>
      <c r="M479">
        <v>0</v>
      </c>
      <c r="N479" s="16">
        <f t="shared" si="32"/>
        <v>0</v>
      </c>
    </row>
    <row r="480" spans="1:14" x14ac:dyDescent="0.25">
      <c r="A480" s="29">
        <v>35</v>
      </c>
      <c r="B480" t="s">
        <v>28</v>
      </c>
      <c r="C480" s="1" t="s">
        <v>29</v>
      </c>
      <c r="D480" t="s">
        <v>1231</v>
      </c>
      <c r="E480" t="s">
        <v>569</v>
      </c>
      <c r="F480" s="31">
        <v>1503.11</v>
      </c>
      <c r="G480" s="17">
        <v>4320</v>
      </c>
      <c r="H480" s="31">
        <v>194802.7</v>
      </c>
      <c r="I480" s="31">
        <f t="shared" si="29"/>
        <v>6298632.4999999991</v>
      </c>
      <c r="J480" s="16">
        <f t="shared" si="30"/>
        <v>5773746.4583333321</v>
      </c>
      <c r="K480">
        <v>12</v>
      </c>
      <c r="L480" s="16">
        <f t="shared" si="31"/>
        <v>692849.57499999984</v>
      </c>
      <c r="M480">
        <v>0</v>
      </c>
      <c r="N480" s="16">
        <f t="shared" si="32"/>
        <v>0</v>
      </c>
    </row>
    <row r="481" spans="1:14" x14ac:dyDescent="0.25">
      <c r="A481" s="29">
        <v>35</v>
      </c>
      <c r="B481" t="s">
        <v>28</v>
      </c>
      <c r="C481" s="1" t="s">
        <v>29</v>
      </c>
      <c r="D481" t="s">
        <v>1271</v>
      </c>
      <c r="E481" t="s">
        <v>569</v>
      </c>
      <c r="F481" s="31">
        <v>1503.11</v>
      </c>
      <c r="G481" s="17">
        <v>2880</v>
      </c>
      <c r="H481" s="31">
        <v>129869.37</v>
      </c>
      <c r="I481" s="31">
        <f t="shared" si="29"/>
        <v>4199087.43</v>
      </c>
      <c r="J481" s="16">
        <f t="shared" si="30"/>
        <v>3849163.4774999996</v>
      </c>
      <c r="K481">
        <v>12</v>
      </c>
      <c r="L481" s="16">
        <f t="shared" si="31"/>
        <v>461899.61729999998</v>
      </c>
      <c r="M481">
        <v>0</v>
      </c>
      <c r="N481" s="16">
        <f t="shared" si="32"/>
        <v>0</v>
      </c>
    </row>
    <row r="482" spans="1:14" x14ac:dyDescent="0.25">
      <c r="A482" s="29">
        <v>36</v>
      </c>
      <c r="B482" t="s">
        <v>28</v>
      </c>
      <c r="C482" s="1" t="s">
        <v>29</v>
      </c>
      <c r="D482" t="s">
        <v>1396</v>
      </c>
      <c r="E482" t="s">
        <v>569</v>
      </c>
      <c r="F482" s="31">
        <v>3104.5</v>
      </c>
      <c r="G482" s="17">
        <v>12</v>
      </c>
      <c r="H482" s="31">
        <f>G482*F482</f>
        <v>37254</v>
      </c>
      <c r="I482" s="31">
        <f t="shared" si="29"/>
        <v>0</v>
      </c>
      <c r="J482" s="16">
        <f t="shared" si="30"/>
        <v>0</v>
      </c>
      <c r="K482">
        <v>12</v>
      </c>
      <c r="L482" s="16">
        <f t="shared" si="31"/>
        <v>0</v>
      </c>
      <c r="M482">
        <v>0</v>
      </c>
      <c r="N482" s="16">
        <f t="shared" si="32"/>
        <v>0</v>
      </c>
    </row>
    <row r="483" spans="1:14" x14ac:dyDescent="0.25">
      <c r="A483" s="29">
        <v>36</v>
      </c>
      <c r="B483" t="s">
        <v>28</v>
      </c>
      <c r="C483" s="1" t="s">
        <v>29</v>
      </c>
      <c r="D483" t="s">
        <v>1237</v>
      </c>
      <c r="E483" t="s">
        <v>569</v>
      </c>
      <c r="F483" s="31">
        <v>3966.67</v>
      </c>
      <c r="G483" s="17">
        <v>360</v>
      </c>
      <c r="H483" s="31">
        <v>42839.64</v>
      </c>
      <c r="I483" s="31">
        <f t="shared" si="29"/>
        <v>1385161.56</v>
      </c>
      <c r="J483" s="16">
        <f t="shared" si="30"/>
        <v>1269731.43</v>
      </c>
      <c r="K483">
        <v>12</v>
      </c>
      <c r="L483" s="16">
        <f t="shared" si="31"/>
        <v>152367.77160000001</v>
      </c>
      <c r="M483">
        <v>0</v>
      </c>
      <c r="N483" s="16">
        <f t="shared" si="32"/>
        <v>0</v>
      </c>
    </row>
    <row r="484" spans="1:14" x14ac:dyDescent="0.25">
      <c r="A484" s="29">
        <v>36</v>
      </c>
      <c r="B484" t="s">
        <v>28</v>
      </c>
      <c r="C484" s="1" t="s">
        <v>29</v>
      </c>
      <c r="D484" t="s">
        <v>1238</v>
      </c>
      <c r="E484" t="s">
        <v>569</v>
      </c>
      <c r="F484" s="31">
        <v>956.17</v>
      </c>
      <c r="G484" s="17">
        <v>250</v>
      </c>
      <c r="H484" s="31">
        <v>7171.17</v>
      </c>
      <c r="I484" s="31">
        <f t="shared" si="29"/>
        <v>231871.33</v>
      </c>
      <c r="J484" s="16">
        <f t="shared" si="30"/>
        <v>212548.71916666665</v>
      </c>
      <c r="K484">
        <v>12</v>
      </c>
      <c r="L484" s="16">
        <f t="shared" si="31"/>
        <v>25505.846299999997</v>
      </c>
      <c r="M484">
        <v>0</v>
      </c>
      <c r="N484" s="16">
        <f t="shared" si="32"/>
        <v>0</v>
      </c>
    </row>
    <row r="485" spans="1:14" x14ac:dyDescent="0.25">
      <c r="A485" s="29">
        <v>36</v>
      </c>
      <c r="B485" t="s">
        <v>28</v>
      </c>
      <c r="C485" s="1" t="s">
        <v>29</v>
      </c>
      <c r="D485" t="s">
        <v>1243</v>
      </c>
      <c r="E485" t="s">
        <v>569</v>
      </c>
      <c r="F485" s="31">
        <v>956.17</v>
      </c>
      <c r="G485" s="17">
        <v>500</v>
      </c>
      <c r="H485" s="31">
        <v>14343.24</v>
      </c>
      <c r="I485" s="31">
        <f t="shared" si="29"/>
        <v>463741.76</v>
      </c>
      <c r="J485" s="16">
        <f t="shared" si="30"/>
        <v>425096.61333333334</v>
      </c>
      <c r="K485">
        <v>12</v>
      </c>
      <c r="L485" s="16">
        <f t="shared" si="31"/>
        <v>51011.5936</v>
      </c>
      <c r="M485">
        <v>0</v>
      </c>
      <c r="N485" s="16">
        <f t="shared" si="32"/>
        <v>0</v>
      </c>
    </row>
    <row r="486" spans="1:14" x14ac:dyDescent="0.25">
      <c r="A486" s="29">
        <v>36</v>
      </c>
      <c r="B486" t="s">
        <v>28</v>
      </c>
      <c r="C486" s="1" t="s">
        <v>29</v>
      </c>
      <c r="D486" t="s">
        <v>1316</v>
      </c>
      <c r="E486" t="s">
        <v>569</v>
      </c>
      <c r="F486" s="31">
        <v>956.17</v>
      </c>
      <c r="G486" s="17">
        <v>250</v>
      </c>
      <c r="H486" s="31">
        <v>7171.17</v>
      </c>
      <c r="I486" s="31">
        <f t="shared" si="29"/>
        <v>231871.33</v>
      </c>
      <c r="J486" s="16">
        <f t="shared" si="30"/>
        <v>212548.71916666665</v>
      </c>
      <c r="K486">
        <v>12</v>
      </c>
      <c r="L486" s="16">
        <f t="shared" si="31"/>
        <v>25505.846299999997</v>
      </c>
      <c r="M486">
        <v>0</v>
      </c>
      <c r="N486" s="16">
        <f t="shared" si="32"/>
        <v>0</v>
      </c>
    </row>
    <row r="487" spans="1:14" x14ac:dyDescent="0.25">
      <c r="A487" s="29">
        <v>36</v>
      </c>
      <c r="B487" t="s">
        <v>28</v>
      </c>
      <c r="C487" s="1" t="s">
        <v>29</v>
      </c>
      <c r="D487" t="s">
        <v>1397</v>
      </c>
      <c r="E487" t="s">
        <v>569</v>
      </c>
      <c r="F487" s="31">
        <v>3117.87</v>
      </c>
      <c r="G487" s="17">
        <v>144</v>
      </c>
      <c r="H487" s="31">
        <v>13469.37</v>
      </c>
      <c r="I487" s="31">
        <f t="shared" si="29"/>
        <v>435503.91</v>
      </c>
      <c r="J487" s="16">
        <f t="shared" si="30"/>
        <v>399211.91749999998</v>
      </c>
      <c r="K487">
        <v>12</v>
      </c>
      <c r="L487" s="16">
        <f t="shared" si="31"/>
        <v>47905.430099999998</v>
      </c>
      <c r="M487">
        <v>0</v>
      </c>
      <c r="N487" s="16">
        <f t="shared" si="32"/>
        <v>0</v>
      </c>
    </row>
    <row r="488" spans="1:14" x14ac:dyDescent="0.25">
      <c r="A488" s="29">
        <v>36</v>
      </c>
      <c r="B488" t="s">
        <v>28</v>
      </c>
      <c r="C488" s="1" t="s">
        <v>29</v>
      </c>
      <c r="D488" t="s">
        <v>1398</v>
      </c>
      <c r="E488" t="s">
        <v>569</v>
      </c>
      <c r="F488" s="31">
        <v>3117.87</v>
      </c>
      <c r="G488" s="17">
        <v>144</v>
      </c>
      <c r="H488" s="31">
        <v>13469.37</v>
      </c>
      <c r="I488" s="31">
        <f t="shared" si="29"/>
        <v>435503.91</v>
      </c>
      <c r="J488" s="16">
        <f t="shared" si="30"/>
        <v>399211.91749999998</v>
      </c>
      <c r="K488">
        <v>12</v>
      </c>
      <c r="L488" s="16">
        <f t="shared" si="31"/>
        <v>47905.430099999998</v>
      </c>
      <c r="M488">
        <v>0</v>
      </c>
      <c r="N488" s="16">
        <f t="shared" si="32"/>
        <v>0</v>
      </c>
    </row>
    <row r="489" spans="1:14" x14ac:dyDescent="0.25">
      <c r="A489" s="29">
        <v>36</v>
      </c>
      <c r="B489" t="s">
        <v>28</v>
      </c>
      <c r="C489" s="1" t="s">
        <v>29</v>
      </c>
      <c r="D489" t="s">
        <v>1216</v>
      </c>
      <c r="E489" t="s">
        <v>569</v>
      </c>
      <c r="F489" s="31">
        <v>7411.11</v>
      </c>
      <c r="G489" s="17">
        <v>6</v>
      </c>
      <c r="H489" s="31">
        <v>1334.23</v>
      </c>
      <c r="I489" s="31">
        <f t="shared" si="29"/>
        <v>43132.429999999993</v>
      </c>
      <c r="J489" s="16">
        <f t="shared" si="30"/>
        <v>39538.060833333322</v>
      </c>
      <c r="K489">
        <v>12</v>
      </c>
      <c r="L489" s="16">
        <f t="shared" si="31"/>
        <v>4744.5672999999988</v>
      </c>
      <c r="M489">
        <v>0</v>
      </c>
      <c r="N489" s="16">
        <f t="shared" si="32"/>
        <v>0</v>
      </c>
    </row>
    <row r="490" spans="1:14" x14ac:dyDescent="0.25">
      <c r="A490" s="29">
        <v>36</v>
      </c>
      <c r="B490" t="s">
        <v>28</v>
      </c>
      <c r="C490" s="1" t="s">
        <v>29</v>
      </c>
      <c r="D490" t="s">
        <v>1222</v>
      </c>
      <c r="E490" t="s">
        <v>569</v>
      </c>
      <c r="F490" s="31">
        <v>7411.11</v>
      </c>
      <c r="G490" s="17">
        <v>6</v>
      </c>
      <c r="H490" s="31">
        <v>1334.23</v>
      </c>
      <c r="I490" s="31">
        <f t="shared" si="29"/>
        <v>43132.429999999993</v>
      </c>
      <c r="J490" s="16">
        <f t="shared" si="30"/>
        <v>39538.060833333322</v>
      </c>
      <c r="K490">
        <v>12</v>
      </c>
      <c r="L490" s="16">
        <f t="shared" si="31"/>
        <v>4744.5672999999988</v>
      </c>
      <c r="M490">
        <v>0</v>
      </c>
      <c r="N490" s="16">
        <f t="shared" si="32"/>
        <v>0</v>
      </c>
    </row>
    <row r="491" spans="1:14" x14ac:dyDescent="0.25">
      <c r="A491" s="29">
        <v>36</v>
      </c>
      <c r="B491" t="s">
        <v>28</v>
      </c>
      <c r="C491" s="1" t="s">
        <v>29</v>
      </c>
      <c r="D491" t="s">
        <v>1375</v>
      </c>
      <c r="E491" t="s">
        <v>569</v>
      </c>
      <c r="F491" s="31">
        <v>3752.73</v>
      </c>
      <c r="G491" s="17">
        <v>720</v>
      </c>
      <c r="H491" s="31">
        <v>81058.559999999998</v>
      </c>
      <c r="I491" s="31">
        <f t="shared" si="29"/>
        <v>2620907.04</v>
      </c>
      <c r="J491" s="16">
        <f t="shared" si="30"/>
        <v>2402498.12</v>
      </c>
      <c r="K491">
        <v>12</v>
      </c>
      <c r="L491" s="16">
        <f t="shared" si="31"/>
        <v>288299.77439999999</v>
      </c>
      <c r="M491">
        <v>0</v>
      </c>
      <c r="N491" s="16">
        <f t="shared" si="32"/>
        <v>0</v>
      </c>
    </row>
    <row r="492" spans="1:14" x14ac:dyDescent="0.25">
      <c r="A492" s="29">
        <v>36</v>
      </c>
      <c r="B492" t="s">
        <v>28</v>
      </c>
      <c r="C492" s="1" t="s">
        <v>29</v>
      </c>
      <c r="D492" t="s">
        <v>1282</v>
      </c>
      <c r="E492" t="s">
        <v>569</v>
      </c>
      <c r="F492" s="31">
        <v>1503.11</v>
      </c>
      <c r="G492" s="17">
        <v>2880</v>
      </c>
      <c r="H492" s="31">
        <v>129869.37</v>
      </c>
      <c r="I492" s="31">
        <f t="shared" si="29"/>
        <v>4199087.43</v>
      </c>
      <c r="J492" s="16">
        <f t="shared" si="30"/>
        <v>3849163.4774999996</v>
      </c>
      <c r="K492">
        <v>12</v>
      </c>
      <c r="L492" s="16">
        <f t="shared" si="31"/>
        <v>461899.61729999998</v>
      </c>
      <c r="M492">
        <v>0</v>
      </c>
      <c r="N492" s="16">
        <f t="shared" si="32"/>
        <v>0</v>
      </c>
    </row>
    <row r="493" spans="1:14" x14ac:dyDescent="0.25">
      <c r="A493" s="29">
        <v>36</v>
      </c>
      <c r="B493" t="s">
        <v>28</v>
      </c>
      <c r="C493" s="1" t="s">
        <v>29</v>
      </c>
      <c r="D493" t="s">
        <v>1349</v>
      </c>
      <c r="E493" t="s">
        <v>569</v>
      </c>
      <c r="F493" s="31">
        <v>956.17</v>
      </c>
      <c r="G493" s="17">
        <v>250</v>
      </c>
      <c r="H493" s="31">
        <v>7171.17</v>
      </c>
      <c r="I493" s="31">
        <f t="shared" si="29"/>
        <v>231871.33</v>
      </c>
      <c r="J493" s="16">
        <f t="shared" si="30"/>
        <v>212548.71916666665</v>
      </c>
      <c r="K493">
        <v>12</v>
      </c>
      <c r="L493" s="16">
        <f t="shared" si="31"/>
        <v>25505.846299999997</v>
      </c>
      <c r="M493">
        <v>0</v>
      </c>
      <c r="N493" s="16">
        <f t="shared" si="32"/>
        <v>0</v>
      </c>
    </row>
    <row r="494" spans="1:14" x14ac:dyDescent="0.25">
      <c r="A494" s="29">
        <v>36</v>
      </c>
      <c r="B494" t="s">
        <v>28</v>
      </c>
      <c r="C494" s="1" t="s">
        <v>29</v>
      </c>
      <c r="D494" t="s">
        <v>1396</v>
      </c>
      <c r="E494" t="s">
        <v>569</v>
      </c>
      <c r="F494" s="31">
        <v>3104.5</v>
      </c>
      <c r="G494" s="17">
        <v>24</v>
      </c>
      <c r="H494" s="31">
        <v>2235.14</v>
      </c>
      <c r="I494" s="31">
        <f t="shared" si="29"/>
        <v>72272.86</v>
      </c>
      <c r="J494" s="16">
        <f t="shared" si="30"/>
        <v>66250.121666666659</v>
      </c>
      <c r="K494">
        <v>12</v>
      </c>
      <c r="L494" s="16">
        <f t="shared" si="31"/>
        <v>7950.0145999999995</v>
      </c>
      <c r="M494">
        <v>0</v>
      </c>
      <c r="N494" s="16">
        <f t="shared" si="32"/>
        <v>0</v>
      </c>
    </row>
    <row r="495" spans="1:14" x14ac:dyDescent="0.25">
      <c r="A495" s="29">
        <v>36</v>
      </c>
      <c r="B495" t="s">
        <v>28</v>
      </c>
      <c r="C495" s="1" t="s">
        <v>29</v>
      </c>
      <c r="D495" t="s">
        <v>1255</v>
      </c>
      <c r="E495" t="s">
        <v>569</v>
      </c>
      <c r="F495" s="31">
        <v>3752.73</v>
      </c>
      <c r="G495" s="17">
        <v>720</v>
      </c>
      <c r="H495" s="31">
        <v>81058.559999999998</v>
      </c>
      <c r="I495" s="31">
        <f t="shared" si="29"/>
        <v>2620907.04</v>
      </c>
      <c r="J495" s="16">
        <f t="shared" si="30"/>
        <v>2402498.12</v>
      </c>
      <c r="K495">
        <v>12</v>
      </c>
      <c r="L495" s="16">
        <f t="shared" si="31"/>
        <v>288299.77439999999</v>
      </c>
      <c r="M495">
        <v>0</v>
      </c>
      <c r="N495" s="16">
        <f t="shared" si="32"/>
        <v>0</v>
      </c>
    </row>
    <row r="496" spans="1:14" x14ac:dyDescent="0.25">
      <c r="A496" s="29">
        <v>36</v>
      </c>
      <c r="B496" t="s">
        <v>28</v>
      </c>
      <c r="C496" s="1" t="s">
        <v>29</v>
      </c>
      <c r="D496" t="s">
        <v>1224</v>
      </c>
      <c r="E496" t="s">
        <v>569</v>
      </c>
      <c r="F496" s="31">
        <v>4571.63</v>
      </c>
      <c r="G496" s="17">
        <v>144</v>
      </c>
      <c r="H496" s="31">
        <v>19748.650000000001</v>
      </c>
      <c r="I496" s="31">
        <f t="shared" si="29"/>
        <v>638566.06999999995</v>
      </c>
      <c r="J496" s="16">
        <f t="shared" si="30"/>
        <v>585352.23083333322</v>
      </c>
      <c r="K496">
        <v>12</v>
      </c>
      <c r="L496" s="16">
        <f t="shared" si="31"/>
        <v>70242.267699999982</v>
      </c>
      <c r="M496">
        <v>0</v>
      </c>
      <c r="N496" s="16">
        <f t="shared" si="32"/>
        <v>0</v>
      </c>
    </row>
    <row r="497" spans="1:14" x14ac:dyDescent="0.25">
      <c r="A497" s="29">
        <v>36</v>
      </c>
      <c r="B497" t="s">
        <v>28</v>
      </c>
      <c r="C497" s="1" t="s">
        <v>29</v>
      </c>
      <c r="D497" t="s">
        <v>1231</v>
      </c>
      <c r="E497" t="s">
        <v>569</v>
      </c>
      <c r="F497" s="31">
        <v>1503.11</v>
      </c>
      <c r="G497" s="17">
        <v>720</v>
      </c>
      <c r="H497" s="31">
        <v>32466.67</v>
      </c>
      <c r="I497" s="31">
        <f t="shared" si="29"/>
        <v>1049772.53</v>
      </c>
      <c r="J497" s="16">
        <f t="shared" si="30"/>
        <v>962291.48583333334</v>
      </c>
      <c r="K497">
        <v>12</v>
      </c>
      <c r="L497" s="16">
        <f t="shared" si="31"/>
        <v>115474.9783</v>
      </c>
      <c r="M497">
        <v>0</v>
      </c>
      <c r="N497" s="16">
        <f t="shared" si="32"/>
        <v>0</v>
      </c>
    </row>
    <row r="498" spans="1:14" x14ac:dyDescent="0.25">
      <c r="A498" s="29">
        <v>36</v>
      </c>
      <c r="B498" t="s">
        <v>28</v>
      </c>
      <c r="C498" s="1" t="s">
        <v>29</v>
      </c>
      <c r="D498" t="s">
        <v>1271</v>
      </c>
      <c r="E498" t="s">
        <v>569</v>
      </c>
      <c r="F498" s="31">
        <v>1503.11</v>
      </c>
      <c r="G498" s="17">
        <v>2880</v>
      </c>
      <c r="H498" s="31">
        <v>129869.37</v>
      </c>
      <c r="I498" s="31">
        <f t="shared" si="29"/>
        <v>4199087.43</v>
      </c>
      <c r="J498" s="16">
        <f t="shared" si="30"/>
        <v>3849163.4774999996</v>
      </c>
      <c r="K498">
        <v>12</v>
      </c>
      <c r="L498" s="16">
        <f t="shared" si="31"/>
        <v>461899.61729999998</v>
      </c>
      <c r="M498">
        <v>0</v>
      </c>
      <c r="N498" s="16">
        <f t="shared" si="32"/>
        <v>0</v>
      </c>
    </row>
    <row r="499" spans="1:14" x14ac:dyDescent="0.25">
      <c r="A499" s="29">
        <v>36</v>
      </c>
      <c r="B499" t="s">
        <v>28</v>
      </c>
      <c r="C499" s="1" t="s">
        <v>29</v>
      </c>
      <c r="D499" t="s">
        <v>1225</v>
      </c>
      <c r="E499" t="s">
        <v>569</v>
      </c>
      <c r="F499" s="31">
        <v>7636.11</v>
      </c>
      <c r="G499" s="17">
        <v>72</v>
      </c>
      <c r="H499" s="31">
        <v>16493.689999999999</v>
      </c>
      <c r="I499" s="31">
        <f t="shared" si="29"/>
        <v>533306.23</v>
      </c>
      <c r="J499" s="16">
        <f t="shared" si="30"/>
        <v>488864.04416666663</v>
      </c>
      <c r="K499">
        <v>12</v>
      </c>
      <c r="L499" s="16">
        <f t="shared" si="31"/>
        <v>58663.68529999999</v>
      </c>
      <c r="M499">
        <v>0</v>
      </c>
      <c r="N499" s="16">
        <f t="shared" si="32"/>
        <v>0</v>
      </c>
    </row>
    <row r="500" spans="1:14" x14ac:dyDescent="0.25">
      <c r="A500" s="29">
        <v>36</v>
      </c>
      <c r="B500" t="s">
        <v>28</v>
      </c>
      <c r="C500" s="1" t="s">
        <v>29</v>
      </c>
      <c r="D500" t="s">
        <v>1229</v>
      </c>
      <c r="E500" t="s">
        <v>569</v>
      </c>
      <c r="F500" s="31">
        <v>7250</v>
      </c>
      <c r="G500" s="17">
        <v>12</v>
      </c>
      <c r="H500" s="31">
        <v>87000</v>
      </c>
      <c r="I500" s="31">
        <f t="shared" si="29"/>
        <v>0</v>
      </c>
      <c r="J500" s="16">
        <f t="shared" si="30"/>
        <v>0</v>
      </c>
      <c r="K500">
        <v>12</v>
      </c>
      <c r="L500" s="16">
        <f t="shared" si="31"/>
        <v>0</v>
      </c>
      <c r="M500">
        <v>0</v>
      </c>
      <c r="N500" s="16">
        <f t="shared" si="32"/>
        <v>0</v>
      </c>
    </row>
    <row r="501" spans="1:14" x14ac:dyDescent="0.25">
      <c r="A501" s="29">
        <v>36</v>
      </c>
      <c r="B501" t="s">
        <v>28</v>
      </c>
      <c r="C501" s="1" t="s">
        <v>29</v>
      </c>
      <c r="D501" t="s">
        <v>1399</v>
      </c>
      <c r="E501" t="s">
        <v>569</v>
      </c>
      <c r="F501" s="31">
        <v>7250</v>
      </c>
      <c r="G501" s="17">
        <v>24</v>
      </c>
      <c r="H501" s="31">
        <v>5219.82</v>
      </c>
      <c r="I501" s="31">
        <f t="shared" si="29"/>
        <v>168780.18</v>
      </c>
      <c r="J501" s="16">
        <f t="shared" si="30"/>
        <v>154715.16499999998</v>
      </c>
      <c r="K501">
        <v>12</v>
      </c>
      <c r="L501" s="16">
        <f t="shared" si="31"/>
        <v>18565.819799999997</v>
      </c>
      <c r="M501">
        <v>0</v>
      </c>
      <c r="N501" s="16">
        <f t="shared" si="32"/>
        <v>0</v>
      </c>
    </row>
    <row r="502" spans="1:14" x14ac:dyDescent="0.25">
      <c r="A502" s="29">
        <v>36</v>
      </c>
      <c r="B502" t="s">
        <v>28</v>
      </c>
      <c r="C502" s="1" t="s">
        <v>29</v>
      </c>
      <c r="D502" t="s">
        <v>1256</v>
      </c>
      <c r="E502" t="s">
        <v>569</v>
      </c>
      <c r="F502" s="31">
        <v>3680</v>
      </c>
      <c r="G502" s="17">
        <v>60</v>
      </c>
      <c r="H502" s="31">
        <v>6624.32</v>
      </c>
      <c r="I502" s="31">
        <f t="shared" si="29"/>
        <v>214175.68</v>
      </c>
      <c r="J502" s="16">
        <f t="shared" si="30"/>
        <v>196327.70666666667</v>
      </c>
      <c r="K502">
        <v>12</v>
      </c>
      <c r="L502" s="16">
        <f t="shared" si="31"/>
        <v>23559.324799999999</v>
      </c>
      <c r="M502">
        <v>0</v>
      </c>
      <c r="N502" s="16">
        <f t="shared" si="32"/>
        <v>0</v>
      </c>
    </row>
    <row r="503" spans="1:14" x14ac:dyDescent="0.25">
      <c r="A503" s="29">
        <v>36</v>
      </c>
      <c r="B503" t="s">
        <v>28</v>
      </c>
      <c r="C503" s="1" t="s">
        <v>29</v>
      </c>
      <c r="D503" t="s">
        <v>1364</v>
      </c>
      <c r="E503" t="s">
        <v>569</v>
      </c>
      <c r="F503" s="31">
        <v>10213.290000000001</v>
      </c>
      <c r="G503" s="17">
        <v>12</v>
      </c>
      <c r="H503" s="31">
        <v>3676.58</v>
      </c>
      <c r="I503" s="31">
        <f t="shared" si="29"/>
        <v>118882.90000000001</v>
      </c>
      <c r="J503" s="16">
        <f t="shared" si="30"/>
        <v>108975.99166666667</v>
      </c>
      <c r="K503">
        <v>12</v>
      </c>
      <c r="L503" s="16">
        <f t="shared" si="31"/>
        <v>13077.118999999999</v>
      </c>
      <c r="M503">
        <v>0</v>
      </c>
      <c r="N503" s="16">
        <f t="shared" si="32"/>
        <v>0</v>
      </c>
    </row>
    <row r="504" spans="1:14" x14ac:dyDescent="0.25">
      <c r="A504" s="29">
        <v>36</v>
      </c>
      <c r="B504" t="s">
        <v>28</v>
      </c>
      <c r="C504" s="1" t="s">
        <v>29</v>
      </c>
      <c r="D504" t="s">
        <v>1311</v>
      </c>
      <c r="E504" t="s">
        <v>569</v>
      </c>
      <c r="F504" s="31">
        <v>10213.290000000001</v>
      </c>
      <c r="G504" s="17">
        <v>12</v>
      </c>
      <c r="H504" s="31">
        <v>3676.58</v>
      </c>
      <c r="I504" s="31">
        <f t="shared" si="29"/>
        <v>118882.90000000001</v>
      </c>
      <c r="J504" s="16">
        <f t="shared" si="30"/>
        <v>108975.99166666667</v>
      </c>
      <c r="K504">
        <v>12</v>
      </c>
      <c r="L504" s="16">
        <f t="shared" si="31"/>
        <v>13077.118999999999</v>
      </c>
      <c r="M504">
        <v>0</v>
      </c>
      <c r="N504" s="16">
        <f t="shared" si="32"/>
        <v>0</v>
      </c>
    </row>
    <row r="505" spans="1:14" x14ac:dyDescent="0.25">
      <c r="A505" s="29">
        <v>37</v>
      </c>
      <c r="B505" t="s">
        <v>28</v>
      </c>
      <c r="C505" s="1" t="s">
        <v>29</v>
      </c>
      <c r="D505" t="s">
        <v>1278</v>
      </c>
      <c r="E505" t="s">
        <v>569</v>
      </c>
      <c r="F505" s="31">
        <v>1503.11</v>
      </c>
      <c r="G505" s="17">
        <v>720</v>
      </c>
      <c r="H505" s="31">
        <v>53461.259999999995</v>
      </c>
      <c r="I505" s="31">
        <f t="shared" si="29"/>
        <v>1028777.94</v>
      </c>
      <c r="J505" s="16">
        <f t="shared" si="30"/>
        <v>943046.44499999995</v>
      </c>
      <c r="K505">
        <v>12</v>
      </c>
      <c r="L505" s="16">
        <f t="shared" si="31"/>
        <v>113165.57339999999</v>
      </c>
      <c r="M505">
        <v>0</v>
      </c>
      <c r="N505" s="16">
        <f t="shared" si="32"/>
        <v>0</v>
      </c>
    </row>
    <row r="506" spans="1:14" x14ac:dyDescent="0.25">
      <c r="A506" s="29">
        <v>37</v>
      </c>
      <c r="B506" t="s">
        <v>28</v>
      </c>
      <c r="C506" s="1" t="s">
        <v>29</v>
      </c>
      <c r="D506" t="s">
        <v>1279</v>
      </c>
      <c r="E506" t="s">
        <v>569</v>
      </c>
      <c r="F506" s="31">
        <v>1503.11</v>
      </c>
      <c r="G506" s="17">
        <v>1440</v>
      </c>
      <c r="H506" s="31">
        <v>106925.22</v>
      </c>
      <c r="I506" s="31">
        <f t="shared" si="29"/>
        <v>2057553.18</v>
      </c>
      <c r="J506" s="16">
        <f t="shared" si="30"/>
        <v>1886090.4149999998</v>
      </c>
      <c r="K506">
        <v>12</v>
      </c>
      <c r="L506" s="16">
        <f t="shared" si="31"/>
        <v>226330.84979999997</v>
      </c>
      <c r="M506">
        <v>0</v>
      </c>
      <c r="N506" s="16">
        <f t="shared" si="32"/>
        <v>0</v>
      </c>
    </row>
    <row r="507" spans="1:14" x14ac:dyDescent="0.25">
      <c r="A507" s="29">
        <v>37</v>
      </c>
      <c r="B507" t="s">
        <v>28</v>
      </c>
      <c r="C507" s="1" t="s">
        <v>29</v>
      </c>
      <c r="D507" t="s">
        <v>1213</v>
      </c>
      <c r="E507" t="s">
        <v>569</v>
      </c>
      <c r="F507" s="31">
        <v>1503.11</v>
      </c>
      <c r="G507" s="17">
        <v>1440</v>
      </c>
      <c r="H507" s="31">
        <v>106925.22</v>
      </c>
      <c r="I507" s="31">
        <f t="shared" si="29"/>
        <v>2057553.18</v>
      </c>
      <c r="J507" s="16">
        <f t="shared" si="30"/>
        <v>1886090.4149999998</v>
      </c>
      <c r="K507">
        <v>12</v>
      </c>
      <c r="L507" s="16">
        <f t="shared" si="31"/>
        <v>226330.84979999997</v>
      </c>
      <c r="M507">
        <v>0</v>
      </c>
      <c r="N507" s="16">
        <f t="shared" si="32"/>
        <v>0</v>
      </c>
    </row>
    <row r="508" spans="1:14" x14ac:dyDescent="0.25">
      <c r="A508" s="29">
        <v>37</v>
      </c>
      <c r="B508" t="s">
        <v>28</v>
      </c>
      <c r="C508" s="1" t="s">
        <v>29</v>
      </c>
      <c r="D508" t="s">
        <v>1214</v>
      </c>
      <c r="E508" t="s">
        <v>569</v>
      </c>
      <c r="F508" s="31">
        <v>2190.17</v>
      </c>
      <c r="G508" s="17">
        <v>2160</v>
      </c>
      <c r="H508" s="31">
        <v>233700</v>
      </c>
      <c r="I508" s="31">
        <f t="shared" si="29"/>
        <v>4497067.2</v>
      </c>
      <c r="J508" s="16">
        <f t="shared" si="30"/>
        <v>4122311.6</v>
      </c>
      <c r="K508">
        <v>12</v>
      </c>
      <c r="L508" s="16">
        <f t="shared" si="31"/>
        <v>494677.39200000005</v>
      </c>
      <c r="M508">
        <v>0</v>
      </c>
      <c r="N508" s="16">
        <f t="shared" si="32"/>
        <v>0</v>
      </c>
    </row>
    <row r="509" spans="1:14" x14ac:dyDescent="0.25">
      <c r="A509" s="29">
        <v>37</v>
      </c>
      <c r="B509" t="s">
        <v>28</v>
      </c>
      <c r="C509" s="1" t="s">
        <v>29</v>
      </c>
      <c r="D509" t="s">
        <v>1281</v>
      </c>
      <c r="E509" t="s">
        <v>569</v>
      </c>
      <c r="F509" s="31">
        <v>1503.11</v>
      </c>
      <c r="G509" s="17">
        <v>720</v>
      </c>
      <c r="H509" s="31">
        <v>53461.259999999995</v>
      </c>
      <c r="I509" s="31">
        <f t="shared" si="29"/>
        <v>1028777.94</v>
      </c>
      <c r="J509" s="16">
        <f t="shared" si="30"/>
        <v>943046.44499999995</v>
      </c>
      <c r="K509">
        <v>12</v>
      </c>
      <c r="L509" s="16">
        <f t="shared" si="31"/>
        <v>113165.57339999999</v>
      </c>
      <c r="M509">
        <v>0</v>
      </c>
      <c r="N509" s="16">
        <f t="shared" si="32"/>
        <v>0</v>
      </c>
    </row>
    <row r="510" spans="1:14" x14ac:dyDescent="0.25">
      <c r="A510" s="29">
        <v>37</v>
      </c>
      <c r="B510" t="s">
        <v>28</v>
      </c>
      <c r="C510" s="1" t="s">
        <v>29</v>
      </c>
      <c r="D510" t="s">
        <v>1282</v>
      </c>
      <c r="E510" t="s">
        <v>569</v>
      </c>
      <c r="F510" s="31">
        <v>1503.11</v>
      </c>
      <c r="G510" s="17">
        <v>5040</v>
      </c>
      <c r="H510" s="31">
        <v>374237.83999999997</v>
      </c>
      <c r="I510" s="31">
        <f t="shared" si="29"/>
        <v>7201436.5599999996</v>
      </c>
      <c r="J510" s="16">
        <f t="shared" si="30"/>
        <v>6601316.8466666657</v>
      </c>
      <c r="K510">
        <v>12</v>
      </c>
      <c r="L510" s="16">
        <f t="shared" si="31"/>
        <v>792158.02159999998</v>
      </c>
      <c r="M510">
        <v>0</v>
      </c>
      <c r="N510" s="16">
        <f t="shared" si="32"/>
        <v>0</v>
      </c>
    </row>
    <row r="511" spans="1:14" x14ac:dyDescent="0.25">
      <c r="A511" s="29">
        <v>37</v>
      </c>
      <c r="B511" t="s">
        <v>28</v>
      </c>
      <c r="C511" s="1" t="s">
        <v>29</v>
      </c>
      <c r="D511" t="s">
        <v>1231</v>
      </c>
      <c r="E511" t="s">
        <v>569</v>
      </c>
      <c r="F511" s="31">
        <v>1503.11</v>
      </c>
      <c r="G511" s="17">
        <v>5040</v>
      </c>
      <c r="H511" s="31">
        <v>374237.83999999997</v>
      </c>
      <c r="I511" s="31">
        <f t="shared" si="29"/>
        <v>7201436.5599999996</v>
      </c>
      <c r="J511" s="16">
        <f t="shared" si="30"/>
        <v>6601316.8466666657</v>
      </c>
      <c r="K511">
        <v>12</v>
      </c>
      <c r="L511" s="16">
        <f t="shared" si="31"/>
        <v>792158.02159999998</v>
      </c>
      <c r="M511">
        <v>0</v>
      </c>
      <c r="N511" s="16">
        <f t="shared" si="32"/>
        <v>0</v>
      </c>
    </row>
    <row r="512" spans="1:14" x14ac:dyDescent="0.25">
      <c r="A512" s="29">
        <v>37</v>
      </c>
      <c r="B512" t="s">
        <v>28</v>
      </c>
      <c r="C512" s="1" t="s">
        <v>29</v>
      </c>
      <c r="D512" t="s">
        <v>1271</v>
      </c>
      <c r="E512" t="s">
        <v>569</v>
      </c>
      <c r="F512" s="31">
        <v>1503.11</v>
      </c>
      <c r="G512" s="17">
        <v>720</v>
      </c>
      <c r="H512" s="31">
        <v>53461.259999999995</v>
      </c>
      <c r="I512" s="31">
        <f t="shared" si="29"/>
        <v>1028777.94</v>
      </c>
      <c r="J512" s="16">
        <f t="shared" si="30"/>
        <v>943046.44499999995</v>
      </c>
      <c r="K512">
        <v>12</v>
      </c>
      <c r="L512" s="16">
        <f t="shared" si="31"/>
        <v>113165.57339999999</v>
      </c>
      <c r="M512">
        <v>0</v>
      </c>
      <c r="N512" s="16">
        <f t="shared" si="32"/>
        <v>0</v>
      </c>
    </row>
    <row r="513" spans="1:14" x14ac:dyDescent="0.25">
      <c r="A513" s="29">
        <v>38</v>
      </c>
      <c r="B513" t="s">
        <v>28</v>
      </c>
      <c r="C513" s="1" t="s">
        <v>29</v>
      </c>
      <c r="D513" t="s">
        <v>1258</v>
      </c>
      <c r="E513" t="s">
        <v>569</v>
      </c>
      <c r="F513" s="31">
        <v>3752.73</v>
      </c>
      <c r="G513" s="17">
        <v>432</v>
      </c>
      <c r="H513" s="31">
        <v>64360.369999999995</v>
      </c>
      <c r="I513" s="31">
        <f t="shared" si="29"/>
        <v>1556818.9900000002</v>
      </c>
      <c r="J513" s="16">
        <f t="shared" si="30"/>
        <v>1427084.0741666667</v>
      </c>
      <c r="K513">
        <v>12</v>
      </c>
      <c r="L513" s="16">
        <f t="shared" si="31"/>
        <v>171250.0889</v>
      </c>
      <c r="M513">
        <v>0</v>
      </c>
      <c r="N513" s="16">
        <f t="shared" si="32"/>
        <v>0</v>
      </c>
    </row>
    <row r="514" spans="1:14" x14ac:dyDescent="0.25">
      <c r="A514" s="29">
        <v>38</v>
      </c>
      <c r="B514" t="s">
        <v>28</v>
      </c>
      <c r="C514" s="1" t="s">
        <v>29</v>
      </c>
      <c r="D514" t="s">
        <v>1400</v>
      </c>
      <c r="E514" t="s">
        <v>569</v>
      </c>
      <c r="F514" s="31">
        <v>3752.73</v>
      </c>
      <c r="G514" s="17">
        <v>144</v>
      </c>
      <c r="H514" s="31">
        <v>21454.05</v>
      </c>
      <c r="I514" s="31">
        <f t="shared" si="29"/>
        <v>518939.07</v>
      </c>
      <c r="J514" s="16">
        <f t="shared" si="30"/>
        <v>475694.14749999996</v>
      </c>
      <c r="K514">
        <v>12</v>
      </c>
      <c r="L514" s="16">
        <f t="shared" si="31"/>
        <v>57083.297699999996</v>
      </c>
      <c r="M514">
        <v>0</v>
      </c>
      <c r="N514" s="16">
        <f t="shared" si="32"/>
        <v>0</v>
      </c>
    </row>
    <row r="515" spans="1:14" x14ac:dyDescent="0.25">
      <c r="A515" s="29">
        <v>38</v>
      </c>
      <c r="B515" t="s">
        <v>28</v>
      </c>
      <c r="C515" s="1" t="s">
        <v>29</v>
      </c>
      <c r="D515" t="s">
        <v>1260</v>
      </c>
      <c r="E515" t="s">
        <v>569</v>
      </c>
      <c r="F515" s="31">
        <v>3752.73</v>
      </c>
      <c r="G515" s="17">
        <v>144</v>
      </c>
      <c r="H515" s="31">
        <v>21454.05</v>
      </c>
      <c r="I515" s="31">
        <f t="shared" ref="I515:I578" si="33">G515*F515-H515</f>
        <v>518939.07</v>
      </c>
      <c r="J515" s="16">
        <f t="shared" ref="J515:J568" si="34">11/12*I515</f>
        <v>475694.14749999996</v>
      </c>
      <c r="K515">
        <v>12</v>
      </c>
      <c r="L515" s="16">
        <f t="shared" ref="L515:L568" si="35">J515*K515/100</f>
        <v>57083.297699999996</v>
      </c>
      <c r="M515">
        <v>0</v>
      </c>
      <c r="N515" s="16">
        <f t="shared" ref="N515:N568" si="36">M515*J515/100</f>
        <v>0</v>
      </c>
    </row>
    <row r="516" spans="1:14" x14ac:dyDescent="0.25">
      <c r="A516" s="29">
        <v>38</v>
      </c>
      <c r="B516" t="s">
        <v>28</v>
      </c>
      <c r="C516" s="1" t="s">
        <v>29</v>
      </c>
      <c r="D516" t="s">
        <v>1236</v>
      </c>
      <c r="E516" t="s">
        <v>569</v>
      </c>
      <c r="F516" s="31">
        <v>3966.67</v>
      </c>
      <c r="G516" s="17">
        <v>36</v>
      </c>
      <c r="H516" s="31">
        <v>5668.46</v>
      </c>
      <c r="I516" s="31">
        <f t="shared" si="33"/>
        <v>137131.66</v>
      </c>
      <c r="J516" s="16">
        <f t="shared" si="34"/>
        <v>125704.02166666667</v>
      </c>
      <c r="K516">
        <v>12</v>
      </c>
      <c r="L516" s="16">
        <f t="shared" si="35"/>
        <v>15084.482599999999</v>
      </c>
      <c r="M516">
        <v>0</v>
      </c>
      <c r="N516" s="16">
        <f t="shared" si="36"/>
        <v>0</v>
      </c>
    </row>
    <row r="517" spans="1:14" x14ac:dyDescent="0.25">
      <c r="A517" s="29">
        <v>38</v>
      </c>
      <c r="B517" t="s">
        <v>28</v>
      </c>
      <c r="C517" s="1" t="s">
        <v>29</v>
      </c>
      <c r="D517" t="s">
        <v>1237</v>
      </c>
      <c r="E517" t="s">
        <v>569</v>
      </c>
      <c r="F517" s="31">
        <v>3966.67</v>
      </c>
      <c r="G517" s="17">
        <v>36</v>
      </c>
      <c r="H517" s="31">
        <v>5668.46</v>
      </c>
      <c r="I517" s="31">
        <f t="shared" si="33"/>
        <v>137131.66</v>
      </c>
      <c r="J517" s="16">
        <f t="shared" si="34"/>
        <v>125704.02166666667</v>
      </c>
      <c r="K517">
        <v>12</v>
      </c>
      <c r="L517" s="16">
        <f t="shared" si="35"/>
        <v>15084.482599999999</v>
      </c>
      <c r="M517">
        <v>0</v>
      </c>
      <c r="N517" s="16">
        <f t="shared" si="36"/>
        <v>0</v>
      </c>
    </row>
    <row r="518" spans="1:14" x14ac:dyDescent="0.25">
      <c r="A518" s="29">
        <v>38</v>
      </c>
      <c r="B518" t="s">
        <v>28</v>
      </c>
      <c r="C518" s="1" t="s">
        <v>29</v>
      </c>
      <c r="D518" t="s">
        <v>1277</v>
      </c>
      <c r="E518" t="s">
        <v>569</v>
      </c>
      <c r="F518" s="31">
        <v>1503.11</v>
      </c>
      <c r="G518" s="17">
        <v>288</v>
      </c>
      <c r="H518" s="31">
        <v>17186.489999999998</v>
      </c>
      <c r="I518" s="31">
        <f t="shared" si="33"/>
        <v>415709.19</v>
      </c>
      <c r="J518" s="16">
        <f t="shared" si="34"/>
        <v>381066.75750000001</v>
      </c>
      <c r="K518">
        <v>12</v>
      </c>
      <c r="L518" s="16">
        <f t="shared" si="35"/>
        <v>45728.010900000001</v>
      </c>
      <c r="M518">
        <v>0</v>
      </c>
      <c r="N518" s="16">
        <f t="shared" si="36"/>
        <v>0</v>
      </c>
    </row>
    <row r="519" spans="1:14" x14ac:dyDescent="0.25">
      <c r="A519" s="29">
        <v>38</v>
      </c>
      <c r="B519" t="s">
        <v>28</v>
      </c>
      <c r="C519" s="1" t="s">
        <v>29</v>
      </c>
      <c r="D519" t="s">
        <v>1212</v>
      </c>
      <c r="E519" t="s">
        <v>569</v>
      </c>
      <c r="F519" s="31">
        <v>1503.11</v>
      </c>
      <c r="G519" s="17">
        <v>288</v>
      </c>
      <c r="H519" s="31">
        <v>17186.489999999998</v>
      </c>
      <c r="I519" s="31">
        <f t="shared" si="33"/>
        <v>415709.19</v>
      </c>
      <c r="J519" s="16">
        <f t="shared" si="34"/>
        <v>381066.75750000001</v>
      </c>
      <c r="K519">
        <v>12</v>
      </c>
      <c r="L519" s="16">
        <f t="shared" si="35"/>
        <v>45728.010900000001</v>
      </c>
      <c r="M519">
        <v>0</v>
      </c>
      <c r="N519" s="16">
        <f t="shared" si="36"/>
        <v>0</v>
      </c>
    </row>
    <row r="520" spans="1:14" x14ac:dyDescent="0.25">
      <c r="A520" s="29">
        <v>38</v>
      </c>
      <c r="B520" t="s">
        <v>28</v>
      </c>
      <c r="C520" s="1" t="s">
        <v>29</v>
      </c>
      <c r="D520" t="s">
        <v>1279</v>
      </c>
      <c r="E520" t="s">
        <v>569</v>
      </c>
      <c r="F520" s="31">
        <v>1503.11</v>
      </c>
      <c r="G520" s="17">
        <v>432</v>
      </c>
      <c r="H520" s="31">
        <v>25779.279999999999</v>
      </c>
      <c r="I520" s="31">
        <f t="shared" si="33"/>
        <v>623564.23999999987</v>
      </c>
      <c r="J520" s="16">
        <f t="shared" si="34"/>
        <v>571600.55333333323</v>
      </c>
      <c r="K520">
        <v>12</v>
      </c>
      <c r="L520" s="16">
        <f t="shared" si="35"/>
        <v>68592.066399999982</v>
      </c>
      <c r="M520">
        <v>0</v>
      </c>
      <c r="N520" s="16">
        <f t="shared" si="36"/>
        <v>0</v>
      </c>
    </row>
    <row r="521" spans="1:14" x14ac:dyDescent="0.25">
      <c r="A521" s="29">
        <v>38</v>
      </c>
      <c r="B521" t="s">
        <v>28</v>
      </c>
      <c r="C521" s="1" t="s">
        <v>29</v>
      </c>
      <c r="D521" t="s">
        <v>1213</v>
      </c>
      <c r="E521" t="s">
        <v>569</v>
      </c>
      <c r="F521" s="31">
        <v>1503.11</v>
      </c>
      <c r="G521" s="17">
        <v>432</v>
      </c>
      <c r="H521" s="31">
        <v>25779.279999999999</v>
      </c>
      <c r="I521" s="31">
        <f t="shared" si="33"/>
        <v>623564.23999999987</v>
      </c>
      <c r="J521" s="16">
        <f t="shared" si="34"/>
        <v>571600.55333333323</v>
      </c>
      <c r="K521">
        <v>12</v>
      </c>
      <c r="L521" s="16">
        <f t="shared" si="35"/>
        <v>68592.066399999982</v>
      </c>
      <c r="M521">
        <v>0</v>
      </c>
      <c r="N521" s="16">
        <f t="shared" si="36"/>
        <v>0</v>
      </c>
    </row>
    <row r="522" spans="1:14" x14ac:dyDescent="0.25">
      <c r="A522" s="29">
        <v>38</v>
      </c>
      <c r="B522" t="s">
        <v>28</v>
      </c>
      <c r="C522" s="1" t="s">
        <v>29</v>
      </c>
      <c r="D522" t="s">
        <v>1280</v>
      </c>
      <c r="E522" t="s">
        <v>569</v>
      </c>
      <c r="F522" s="31">
        <v>1503.11</v>
      </c>
      <c r="G522" s="17">
        <v>144</v>
      </c>
      <c r="H522" s="31">
        <v>8592.7900000000009</v>
      </c>
      <c r="I522" s="31">
        <f t="shared" si="33"/>
        <v>207855.05</v>
      </c>
      <c r="J522" s="16">
        <f t="shared" si="34"/>
        <v>190533.79583333331</v>
      </c>
      <c r="K522">
        <v>12</v>
      </c>
      <c r="L522" s="16">
        <f t="shared" si="35"/>
        <v>22864.055499999999</v>
      </c>
      <c r="M522">
        <v>0</v>
      </c>
      <c r="N522" s="16">
        <f t="shared" si="36"/>
        <v>0</v>
      </c>
    </row>
    <row r="523" spans="1:14" x14ac:dyDescent="0.25">
      <c r="A523" s="29">
        <v>38</v>
      </c>
      <c r="B523" t="s">
        <v>28</v>
      </c>
      <c r="C523" s="1" t="s">
        <v>29</v>
      </c>
      <c r="D523" t="s">
        <v>1214</v>
      </c>
      <c r="E523" t="s">
        <v>569</v>
      </c>
      <c r="F523" s="31">
        <v>2190.17</v>
      </c>
      <c r="G523" s="17">
        <v>432</v>
      </c>
      <c r="H523" s="31">
        <v>37563.06</v>
      </c>
      <c r="I523" s="31">
        <f t="shared" si="33"/>
        <v>908590.38000000012</v>
      </c>
      <c r="J523" s="16">
        <f t="shared" si="34"/>
        <v>832874.51500000013</v>
      </c>
      <c r="K523">
        <v>12</v>
      </c>
      <c r="L523" s="16">
        <f t="shared" si="35"/>
        <v>99944.941800000015</v>
      </c>
      <c r="M523">
        <v>0</v>
      </c>
      <c r="N523" s="16">
        <f t="shared" si="36"/>
        <v>0</v>
      </c>
    </row>
    <row r="524" spans="1:14" x14ac:dyDescent="0.25">
      <c r="A524" s="29">
        <v>38</v>
      </c>
      <c r="B524" t="s">
        <v>28</v>
      </c>
      <c r="C524" s="1" t="s">
        <v>29</v>
      </c>
      <c r="D524" t="s">
        <v>1281</v>
      </c>
      <c r="E524" t="s">
        <v>569</v>
      </c>
      <c r="F524" s="31">
        <v>1503.11</v>
      </c>
      <c r="G524" s="17">
        <v>144</v>
      </c>
      <c r="H524" s="31">
        <v>8592.7900000000009</v>
      </c>
      <c r="I524" s="31">
        <f t="shared" si="33"/>
        <v>207855.05</v>
      </c>
      <c r="J524" s="16">
        <f t="shared" si="34"/>
        <v>190533.79583333331</v>
      </c>
      <c r="K524">
        <v>12</v>
      </c>
      <c r="L524" s="16">
        <f t="shared" si="35"/>
        <v>22864.055499999999</v>
      </c>
      <c r="M524">
        <v>0</v>
      </c>
      <c r="N524" s="16">
        <f t="shared" si="36"/>
        <v>0</v>
      </c>
    </row>
    <row r="525" spans="1:14" x14ac:dyDescent="0.25">
      <c r="A525" s="29">
        <v>38</v>
      </c>
      <c r="B525" t="s">
        <v>28</v>
      </c>
      <c r="C525" s="1" t="s">
        <v>29</v>
      </c>
      <c r="D525" t="s">
        <v>1373</v>
      </c>
      <c r="E525" t="s">
        <v>569</v>
      </c>
      <c r="F525" s="31">
        <v>3601.98</v>
      </c>
      <c r="G525" s="17">
        <v>36</v>
      </c>
      <c r="H525" s="31">
        <v>5147.75</v>
      </c>
      <c r="I525" s="31">
        <f t="shared" si="33"/>
        <v>124523.53</v>
      </c>
      <c r="J525" s="16">
        <f t="shared" si="34"/>
        <v>114146.56916666667</v>
      </c>
      <c r="K525">
        <v>12</v>
      </c>
      <c r="L525" s="16">
        <f t="shared" si="35"/>
        <v>13697.588300000001</v>
      </c>
      <c r="M525">
        <v>0</v>
      </c>
      <c r="N525" s="16">
        <f t="shared" si="36"/>
        <v>0</v>
      </c>
    </row>
    <row r="526" spans="1:14" x14ac:dyDescent="0.25">
      <c r="A526" s="29">
        <v>38</v>
      </c>
      <c r="B526" t="s">
        <v>28</v>
      </c>
      <c r="C526" s="1" t="s">
        <v>29</v>
      </c>
      <c r="D526" t="s">
        <v>1401</v>
      </c>
      <c r="E526" t="s">
        <v>569</v>
      </c>
      <c r="F526" s="31">
        <v>3601.98</v>
      </c>
      <c r="G526" s="17">
        <v>36</v>
      </c>
      <c r="H526" s="31">
        <v>5147.75</v>
      </c>
      <c r="I526" s="31">
        <f t="shared" si="33"/>
        <v>124523.53</v>
      </c>
      <c r="J526" s="16">
        <f t="shared" si="34"/>
        <v>114146.56916666667</v>
      </c>
      <c r="K526">
        <v>12</v>
      </c>
      <c r="L526" s="16">
        <f t="shared" si="35"/>
        <v>13697.588300000001</v>
      </c>
      <c r="M526">
        <v>0</v>
      </c>
      <c r="N526" s="16">
        <f t="shared" si="36"/>
        <v>0</v>
      </c>
    </row>
    <row r="527" spans="1:14" x14ac:dyDescent="0.25">
      <c r="A527" s="29">
        <v>38</v>
      </c>
      <c r="B527" t="s">
        <v>28</v>
      </c>
      <c r="C527" s="1" t="s">
        <v>29</v>
      </c>
      <c r="D527" t="s">
        <v>1402</v>
      </c>
      <c r="E527" t="s">
        <v>569</v>
      </c>
      <c r="F527" s="31">
        <v>4709.01</v>
      </c>
      <c r="G527" s="17">
        <v>36</v>
      </c>
      <c r="H527" s="31">
        <v>6729.7300000000005</v>
      </c>
      <c r="I527" s="31">
        <f t="shared" si="33"/>
        <v>162794.63</v>
      </c>
      <c r="J527" s="16">
        <f t="shared" si="34"/>
        <v>149228.41083333333</v>
      </c>
      <c r="K527">
        <v>12</v>
      </c>
      <c r="L527" s="16">
        <f t="shared" si="35"/>
        <v>17907.409299999999</v>
      </c>
      <c r="M527">
        <v>0</v>
      </c>
      <c r="N527" s="16">
        <f t="shared" si="36"/>
        <v>0</v>
      </c>
    </row>
    <row r="528" spans="1:14" x14ac:dyDescent="0.25">
      <c r="A528" s="29">
        <v>38</v>
      </c>
      <c r="B528" t="s">
        <v>28</v>
      </c>
      <c r="C528" s="1" t="s">
        <v>29</v>
      </c>
      <c r="D528" t="s">
        <v>1403</v>
      </c>
      <c r="E528" t="s">
        <v>569</v>
      </c>
      <c r="F528" s="31">
        <v>4709.01</v>
      </c>
      <c r="G528" s="17">
        <v>36</v>
      </c>
      <c r="H528" s="31">
        <v>6729.7300000000005</v>
      </c>
      <c r="I528" s="31">
        <f t="shared" si="33"/>
        <v>162794.63</v>
      </c>
      <c r="J528" s="16">
        <f t="shared" si="34"/>
        <v>149228.41083333333</v>
      </c>
      <c r="K528">
        <v>12</v>
      </c>
      <c r="L528" s="16">
        <f t="shared" si="35"/>
        <v>17907.409299999999</v>
      </c>
      <c r="M528">
        <v>0</v>
      </c>
      <c r="N528" s="16">
        <f t="shared" si="36"/>
        <v>0</v>
      </c>
    </row>
    <row r="529" spans="1:14" x14ac:dyDescent="0.25">
      <c r="A529" s="29">
        <v>38</v>
      </c>
      <c r="B529" t="s">
        <v>28</v>
      </c>
      <c r="C529" s="1" t="s">
        <v>29</v>
      </c>
      <c r="D529" t="s">
        <v>1314</v>
      </c>
      <c r="E529" t="s">
        <v>569</v>
      </c>
      <c r="F529" s="31">
        <v>956.17</v>
      </c>
      <c r="G529" s="17">
        <v>1250</v>
      </c>
      <c r="H529" s="31">
        <v>47449.55</v>
      </c>
      <c r="I529" s="31">
        <f t="shared" si="33"/>
        <v>1147762.95</v>
      </c>
      <c r="J529" s="16">
        <f t="shared" si="34"/>
        <v>1052116.0374999999</v>
      </c>
      <c r="K529">
        <v>12</v>
      </c>
      <c r="L529" s="16">
        <f t="shared" si="35"/>
        <v>126253.92449999999</v>
      </c>
      <c r="M529">
        <v>0</v>
      </c>
      <c r="N529" s="16">
        <f t="shared" si="36"/>
        <v>0</v>
      </c>
    </row>
    <row r="530" spans="1:14" x14ac:dyDescent="0.25">
      <c r="A530" s="29">
        <v>38</v>
      </c>
      <c r="B530" t="s">
        <v>28</v>
      </c>
      <c r="C530" s="1" t="s">
        <v>29</v>
      </c>
      <c r="D530" t="s">
        <v>1340</v>
      </c>
      <c r="E530" t="s">
        <v>569</v>
      </c>
      <c r="F530" s="31">
        <v>956.17</v>
      </c>
      <c r="G530" s="17">
        <v>750</v>
      </c>
      <c r="H530" s="31">
        <v>28470.27</v>
      </c>
      <c r="I530" s="31">
        <f t="shared" si="33"/>
        <v>688657.23</v>
      </c>
      <c r="J530" s="16">
        <f t="shared" si="34"/>
        <v>631269.12749999994</v>
      </c>
      <c r="K530">
        <v>12</v>
      </c>
      <c r="L530" s="16">
        <f t="shared" si="35"/>
        <v>75752.295299999998</v>
      </c>
      <c r="M530">
        <v>0</v>
      </c>
      <c r="N530" s="16">
        <f t="shared" si="36"/>
        <v>0</v>
      </c>
    </row>
    <row r="531" spans="1:14" x14ac:dyDescent="0.25">
      <c r="A531" s="29">
        <v>38</v>
      </c>
      <c r="B531" t="s">
        <v>28</v>
      </c>
      <c r="C531" s="1" t="s">
        <v>29</v>
      </c>
      <c r="D531" t="s">
        <v>1238</v>
      </c>
      <c r="E531" t="s">
        <v>569</v>
      </c>
      <c r="F531" s="31">
        <v>956.17</v>
      </c>
      <c r="G531" s="17">
        <v>500</v>
      </c>
      <c r="H531" s="31">
        <v>18980.18</v>
      </c>
      <c r="I531" s="31">
        <f t="shared" si="33"/>
        <v>459104.82</v>
      </c>
      <c r="J531" s="16">
        <f t="shared" si="34"/>
        <v>420846.08499999996</v>
      </c>
      <c r="K531">
        <v>12</v>
      </c>
      <c r="L531" s="16">
        <f t="shared" si="35"/>
        <v>50501.530199999994</v>
      </c>
      <c r="M531">
        <v>0</v>
      </c>
      <c r="N531" s="16">
        <f t="shared" si="36"/>
        <v>0</v>
      </c>
    </row>
    <row r="532" spans="1:14" x14ac:dyDescent="0.25">
      <c r="A532" s="29">
        <v>38</v>
      </c>
      <c r="B532" t="s">
        <v>28</v>
      </c>
      <c r="C532" s="1" t="s">
        <v>29</v>
      </c>
      <c r="D532" t="s">
        <v>1262</v>
      </c>
      <c r="E532" t="s">
        <v>569</v>
      </c>
      <c r="F532" s="31">
        <v>956.17</v>
      </c>
      <c r="G532" s="17">
        <v>500</v>
      </c>
      <c r="H532" s="31">
        <v>18980.18</v>
      </c>
      <c r="I532" s="31">
        <f t="shared" si="33"/>
        <v>459104.82</v>
      </c>
      <c r="J532" s="16">
        <f t="shared" si="34"/>
        <v>420846.08499999996</v>
      </c>
      <c r="K532">
        <v>12</v>
      </c>
      <c r="L532" s="16">
        <f t="shared" si="35"/>
        <v>50501.530199999994</v>
      </c>
      <c r="M532">
        <v>0</v>
      </c>
      <c r="N532" s="16">
        <f t="shared" si="36"/>
        <v>0</v>
      </c>
    </row>
    <row r="533" spans="1:14" x14ac:dyDescent="0.25">
      <c r="A533" s="29">
        <v>38</v>
      </c>
      <c r="B533" t="s">
        <v>28</v>
      </c>
      <c r="C533" s="1" t="s">
        <v>29</v>
      </c>
      <c r="D533" t="s">
        <v>1389</v>
      </c>
      <c r="E533" t="s">
        <v>569</v>
      </c>
      <c r="F533" s="31">
        <v>956.17</v>
      </c>
      <c r="G533" s="17">
        <v>500</v>
      </c>
      <c r="H533" s="31">
        <v>18980.18</v>
      </c>
      <c r="I533" s="31">
        <f t="shared" si="33"/>
        <v>459104.82</v>
      </c>
      <c r="J533" s="16">
        <f t="shared" si="34"/>
        <v>420846.08499999996</v>
      </c>
      <c r="K533">
        <v>12</v>
      </c>
      <c r="L533" s="16">
        <f t="shared" si="35"/>
        <v>50501.530199999994</v>
      </c>
      <c r="M533">
        <v>0</v>
      </c>
      <c r="N533" s="16">
        <f t="shared" si="36"/>
        <v>0</v>
      </c>
    </row>
    <row r="534" spans="1:14" x14ac:dyDescent="0.25">
      <c r="A534" s="29">
        <v>38</v>
      </c>
      <c r="B534" t="s">
        <v>28</v>
      </c>
      <c r="C534" s="1" t="s">
        <v>29</v>
      </c>
      <c r="D534" t="s">
        <v>1239</v>
      </c>
      <c r="E534" t="s">
        <v>569</v>
      </c>
      <c r="F534" s="31">
        <v>956.17</v>
      </c>
      <c r="G534" s="17">
        <v>2500</v>
      </c>
      <c r="H534" s="31">
        <v>94900</v>
      </c>
      <c r="I534" s="31">
        <f t="shared" si="33"/>
        <v>2295525</v>
      </c>
      <c r="J534" s="16">
        <f t="shared" si="34"/>
        <v>2104231.25</v>
      </c>
      <c r="K534">
        <v>12</v>
      </c>
      <c r="L534" s="16">
        <f t="shared" si="35"/>
        <v>252507.75</v>
      </c>
      <c r="M534">
        <v>0</v>
      </c>
      <c r="N534" s="16">
        <f t="shared" si="36"/>
        <v>0</v>
      </c>
    </row>
    <row r="535" spans="1:14" x14ac:dyDescent="0.25">
      <c r="A535" s="29">
        <v>38</v>
      </c>
      <c r="B535" t="s">
        <v>28</v>
      </c>
      <c r="C535" s="1" t="s">
        <v>29</v>
      </c>
      <c r="D535" t="s">
        <v>1394</v>
      </c>
      <c r="E535" t="s">
        <v>569</v>
      </c>
      <c r="F535" s="31">
        <v>956.17</v>
      </c>
      <c r="G535" s="17">
        <v>250</v>
      </c>
      <c r="H535" s="31">
        <v>9490.09</v>
      </c>
      <c r="I535" s="31">
        <f t="shared" si="33"/>
        <v>229552.41</v>
      </c>
      <c r="J535" s="16">
        <f t="shared" si="34"/>
        <v>210423.04249999998</v>
      </c>
      <c r="K535">
        <v>12</v>
      </c>
      <c r="L535" s="16">
        <f t="shared" si="35"/>
        <v>25250.765099999997</v>
      </c>
      <c r="M535">
        <v>0</v>
      </c>
      <c r="N535" s="16">
        <f t="shared" si="36"/>
        <v>0</v>
      </c>
    </row>
    <row r="536" spans="1:14" x14ac:dyDescent="0.25">
      <c r="A536" s="29">
        <v>38</v>
      </c>
      <c r="B536" t="s">
        <v>28</v>
      </c>
      <c r="C536" s="1" t="s">
        <v>29</v>
      </c>
      <c r="D536" t="s">
        <v>1240</v>
      </c>
      <c r="E536" t="s">
        <v>569</v>
      </c>
      <c r="F536" s="31">
        <v>956.17</v>
      </c>
      <c r="G536" s="17">
        <v>1250</v>
      </c>
      <c r="H536" s="31">
        <v>47449.55</v>
      </c>
      <c r="I536" s="31">
        <f t="shared" si="33"/>
        <v>1147762.95</v>
      </c>
      <c r="J536" s="16">
        <f t="shared" si="34"/>
        <v>1052116.0374999999</v>
      </c>
      <c r="K536">
        <v>12</v>
      </c>
      <c r="L536" s="16">
        <f t="shared" si="35"/>
        <v>126253.92449999999</v>
      </c>
      <c r="M536">
        <v>0</v>
      </c>
      <c r="N536" s="16">
        <f t="shared" si="36"/>
        <v>0</v>
      </c>
    </row>
    <row r="537" spans="1:14" x14ac:dyDescent="0.25">
      <c r="A537" s="29">
        <v>38</v>
      </c>
      <c r="B537" t="s">
        <v>28</v>
      </c>
      <c r="C537" s="1" t="s">
        <v>29</v>
      </c>
      <c r="D537" t="s">
        <v>1242</v>
      </c>
      <c r="E537" t="s">
        <v>569</v>
      </c>
      <c r="F537" s="31">
        <v>956.17</v>
      </c>
      <c r="G537" s="17">
        <v>1500</v>
      </c>
      <c r="H537" s="31">
        <v>56939.64</v>
      </c>
      <c r="I537" s="31">
        <f t="shared" si="33"/>
        <v>1377315.36</v>
      </c>
      <c r="J537" s="16">
        <f t="shared" si="34"/>
        <v>1262539.08</v>
      </c>
      <c r="K537">
        <v>12</v>
      </c>
      <c r="L537" s="16">
        <f t="shared" si="35"/>
        <v>151504.68960000001</v>
      </c>
      <c r="M537">
        <v>0</v>
      </c>
      <c r="N537" s="16">
        <f t="shared" si="36"/>
        <v>0</v>
      </c>
    </row>
    <row r="538" spans="1:14" x14ac:dyDescent="0.25">
      <c r="A538" s="29">
        <v>38</v>
      </c>
      <c r="B538" t="s">
        <v>28</v>
      </c>
      <c r="C538" s="1" t="s">
        <v>29</v>
      </c>
      <c r="D538" t="s">
        <v>1315</v>
      </c>
      <c r="E538" t="s">
        <v>569</v>
      </c>
      <c r="F538" s="31">
        <v>956.17</v>
      </c>
      <c r="G538" s="17">
        <v>1000</v>
      </c>
      <c r="H538" s="31">
        <v>37959.449999999997</v>
      </c>
      <c r="I538" s="31">
        <f t="shared" si="33"/>
        <v>918210.55</v>
      </c>
      <c r="J538" s="16">
        <f t="shared" si="34"/>
        <v>841693.00416666665</v>
      </c>
      <c r="K538">
        <v>12</v>
      </c>
      <c r="L538" s="16">
        <f t="shared" si="35"/>
        <v>101003.16050000001</v>
      </c>
      <c r="M538">
        <v>0</v>
      </c>
      <c r="N538" s="16">
        <f t="shared" si="36"/>
        <v>0</v>
      </c>
    </row>
    <row r="539" spans="1:14" x14ac:dyDescent="0.25">
      <c r="A539" s="29">
        <v>38</v>
      </c>
      <c r="B539" t="s">
        <v>28</v>
      </c>
      <c r="C539" s="1" t="s">
        <v>29</v>
      </c>
      <c r="D539" t="s">
        <v>1243</v>
      </c>
      <c r="E539" t="s">
        <v>569</v>
      </c>
      <c r="F539" s="31">
        <v>956.17</v>
      </c>
      <c r="G539" s="17">
        <v>250</v>
      </c>
      <c r="H539" s="31">
        <v>9490.09</v>
      </c>
      <c r="I539" s="31">
        <f t="shared" si="33"/>
        <v>229552.41</v>
      </c>
      <c r="J539" s="16">
        <f t="shared" si="34"/>
        <v>210423.04249999998</v>
      </c>
      <c r="K539">
        <v>12</v>
      </c>
      <c r="L539" s="16">
        <f t="shared" si="35"/>
        <v>25250.765099999997</v>
      </c>
      <c r="M539">
        <v>0</v>
      </c>
      <c r="N539" s="16">
        <f t="shared" si="36"/>
        <v>0</v>
      </c>
    </row>
    <row r="540" spans="1:14" x14ac:dyDescent="0.25">
      <c r="A540" s="29">
        <v>38</v>
      </c>
      <c r="B540" t="s">
        <v>28</v>
      </c>
      <c r="C540" s="1" t="s">
        <v>29</v>
      </c>
      <c r="D540" t="s">
        <v>1244</v>
      </c>
      <c r="E540" t="s">
        <v>569</v>
      </c>
      <c r="F540" s="31">
        <v>956.17</v>
      </c>
      <c r="G540" s="17">
        <v>750</v>
      </c>
      <c r="H540" s="31">
        <v>28470.27</v>
      </c>
      <c r="I540" s="31">
        <f t="shared" si="33"/>
        <v>688657.23</v>
      </c>
      <c r="J540" s="16">
        <f t="shared" si="34"/>
        <v>631269.12749999994</v>
      </c>
      <c r="K540">
        <v>12</v>
      </c>
      <c r="L540" s="16">
        <f t="shared" si="35"/>
        <v>75752.295299999998</v>
      </c>
      <c r="M540">
        <v>0</v>
      </c>
      <c r="N540" s="16">
        <f t="shared" si="36"/>
        <v>0</v>
      </c>
    </row>
    <row r="541" spans="1:14" x14ac:dyDescent="0.25">
      <c r="A541" s="29">
        <v>38</v>
      </c>
      <c r="B541" t="s">
        <v>28</v>
      </c>
      <c r="C541" s="1" t="s">
        <v>29</v>
      </c>
      <c r="D541" t="s">
        <v>1245</v>
      </c>
      <c r="E541" t="s">
        <v>569</v>
      </c>
      <c r="F541" s="31">
        <v>956.17</v>
      </c>
      <c r="G541" s="17">
        <v>1000</v>
      </c>
      <c r="H541" s="31">
        <v>37959.449999999997</v>
      </c>
      <c r="I541" s="31">
        <f t="shared" si="33"/>
        <v>918210.55</v>
      </c>
      <c r="J541" s="16">
        <f t="shared" si="34"/>
        <v>841693.00416666665</v>
      </c>
      <c r="K541">
        <v>12</v>
      </c>
      <c r="L541" s="16">
        <f t="shared" si="35"/>
        <v>101003.16050000001</v>
      </c>
      <c r="M541">
        <v>0</v>
      </c>
      <c r="N541" s="16">
        <f t="shared" si="36"/>
        <v>0</v>
      </c>
    </row>
    <row r="542" spans="1:14" x14ac:dyDescent="0.25">
      <c r="A542" s="29">
        <v>38</v>
      </c>
      <c r="B542" t="s">
        <v>28</v>
      </c>
      <c r="C542" s="1" t="s">
        <v>29</v>
      </c>
      <c r="D542" t="s">
        <v>1246</v>
      </c>
      <c r="E542" t="s">
        <v>569</v>
      </c>
      <c r="F542" s="31">
        <v>956.17</v>
      </c>
      <c r="G542" s="17">
        <v>250</v>
      </c>
      <c r="H542" s="31">
        <v>9490.09</v>
      </c>
      <c r="I542" s="31">
        <f t="shared" si="33"/>
        <v>229552.41</v>
      </c>
      <c r="J542" s="16">
        <f t="shared" si="34"/>
        <v>210423.04249999998</v>
      </c>
      <c r="K542">
        <v>12</v>
      </c>
      <c r="L542" s="16">
        <f t="shared" si="35"/>
        <v>25250.765099999997</v>
      </c>
      <c r="M542">
        <v>0</v>
      </c>
      <c r="N542" s="16">
        <f t="shared" si="36"/>
        <v>0</v>
      </c>
    </row>
    <row r="543" spans="1:14" x14ac:dyDescent="0.25">
      <c r="A543" s="29">
        <v>38</v>
      </c>
      <c r="B543" t="s">
        <v>28</v>
      </c>
      <c r="C543" s="1" t="s">
        <v>29</v>
      </c>
      <c r="D543" t="s">
        <v>1263</v>
      </c>
      <c r="E543" t="s">
        <v>569</v>
      </c>
      <c r="F543" s="31">
        <v>257.52</v>
      </c>
      <c r="G543" s="17">
        <v>2040</v>
      </c>
      <c r="H543" s="31">
        <v>20856.760000000002</v>
      </c>
      <c r="I543" s="31">
        <f t="shared" si="33"/>
        <v>504484.03999999992</v>
      </c>
      <c r="J543" s="16">
        <f t="shared" si="34"/>
        <v>462443.70333333325</v>
      </c>
      <c r="K543">
        <v>12</v>
      </c>
      <c r="L543" s="16">
        <f t="shared" si="35"/>
        <v>55493.244399999996</v>
      </c>
      <c r="M543">
        <v>0</v>
      </c>
      <c r="N543" s="16">
        <f t="shared" si="36"/>
        <v>0</v>
      </c>
    </row>
    <row r="544" spans="1:14" x14ac:dyDescent="0.25">
      <c r="A544" s="29">
        <v>38</v>
      </c>
      <c r="B544" t="s">
        <v>28</v>
      </c>
      <c r="C544" s="1" t="s">
        <v>29</v>
      </c>
      <c r="D544" t="s">
        <v>1302</v>
      </c>
      <c r="E544" t="s">
        <v>569</v>
      </c>
      <c r="F544" s="31">
        <v>257.52</v>
      </c>
      <c r="G544" s="17">
        <v>2160</v>
      </c>
      <c r="H544" s="31">
        <v>22083.79</v>
      </c>
      <c r="I544" s="31">
        <f t="shared" si="33"/>
        <v>534159.40999999992</v>
      </c>
      <c r="J544" s="16">
        <f t="shared" si="34"/>
        <v>489646.12583333324</v>
      </c>
      <c r="K544">
        <v>12</v>
      </c>
      <c r="L544" s="16">
        <f t="shared" si="35"/>
        <v>58757.535099999986</v>
      </c>
      <c r="M544">
        <v>0</v>
      </c>
      <c r="N544" s="16">
        <f t="shared" si="36"/>
        <v>0</v>
      </c>
    </row>
    <row r="545" spans="1:14" x14ac:dyDescent="0.25">
      <c r="A545" s="29">
        <v>38</v>
      </c>
      <c r="B545" t="s">
        <v>28</v>
      </c>
      <c r="C545" s="1" t="s">
        <v>29</v>
      </c>
      <c r="D545" t="s">
        <v>1344</v>
      </c>
      <c r="E545" t="s">
        <v>569</v>
      </c>
      <c r="F545" s="31">
        <v>257.52</v>
      </c>
      <c r="G545" s="17">
        <v>2160</v>
      </c>
      <c r="H545" s="31">
        <v>22083.79</v>
      </c>
      <c r="I545" s="31">
        <f t="shared" si="33"/>
        <v>534159.40999999992</v>
      </c>
      <c r="J545" s="16">
        <f t="shared" si="34"/>
        <v>489646.12583333324</v>
      </c>
      <c r="K545">
        <v>12</v>
      </c>
      <c r="L545" s="16">
        <f t="shared" si="35"/>
        <v>58757.535099999986</v>
      </c>
      <c r="M545">
        <v>0</v>
      </c>
      <c r="N545" s="16">
        <f t="shared" si="36"/>
        <v>0</v>
      </c>
    </row>
    <row r="546" spans="1:14" x14ac:dyDescent="0.25">
      <c r="A546" s="29">
        <v>38</v>
      </c>
      <c r="B546" t="s">
        <v>28</v>
      </c>
      <c r="C546" s="1" t="s">
        <v>29</v>
      </c>
      <c r="D546" t="s">
        <v>1303</v>
      </c>
      <c r="E546" t="s">
        <v>569</v>
      </c>
      <c r="F546" s="31">
        <v>3669.96</v>
      </c>
      <c r="G546" s="17">
        <v>72</v>
      </c>
      <c r="H546" s="31">
        <v>10490.09</v>
      </c>
      <c r="I546" s="31">
        <f t="shared" si="33"/>
        <v>253747.03</v>
      </c>
      <c r="J546" s="16">
        <f t="shared" si="34"/>
        <v>232601.44416666665</v>
      </c>
      <c r="K546">
        <v>12</v>
      </c>
      <c r="L546" s="16">
        <f t="shared" si="35"/>
        <v>27912.173300000002</v>
      </c>
      <c r="M546">
        <v>0</v>
      </c>
      <c r="N546" s="16">
        <f t="shared" si="36"/>
        <v>0</v>
      </c>
    </row>
    <row r="547" spans="1:14" x14ac:dyDescent="0.25">
      <c r="A547" s="29">
        <v>38</v>
      </c>
      <c r="B547" t="s">
        <v>28</v>
      </c>
      <c r="C547" s="1" t="s">
        <v>29</v>
      </c>
      <c r="D547" t="s">
        <v>1264</v>
      </c>
      <c r="E547" t="s">
        <v>569</v>
      </c>
      <c r="F547" s="31">
        <v>3117.87</v>
      </c>
      <c r="G547" s="17">
        <v>72</v>
      </c>
      <c r="H547" s="31">
        <v>8913.52</v>
      </c>
      <c r="I547" s="31">
        <f t="shared" si="33"/>
        <v>215573.12</v>
      </c>
      <c r="J547" s="16">
        <f t="shared" si="34"/>
        <v>197608.69333333333</v>
      </c>
      <c r="K547">
        <v>12</v>
      </c>
      <c r="L547" s="16">
        <f t="shared" si="35"/>
        <v>23713.0432</v>
      </c>
      <c r="M547">
        <v>0</v>
      </c>
      <c r="N547" s="16">
        <f t="shared" si="36"/>
        <v>0</v>
      </c>
    </row>
    <row r="548" spans="1:14" x14ac:dyDescent="0.25">
      <c r="A548" s="29">
        <v>38</v>
      </c>
      <c r="B548" t="s">
        <v>28</v>
      </c>
      <c r="C548" s="1" t="s">
        <v>29</v>
      </c>
      <c r="D548" t="s">
        <v>1217</v>
      </c>
      <c r="E548" t="s">
        <v>569</v>
      </c>
      <c r="F548" s="31">
        <v>7411.11</v>
      </c>
      <c r="G548" s="17">
        <v>72</v>
      </c>
      <c r="H548" s="31">
        <v>21183.79</v>
      </c>
      <c r="I548" s="31">
        <f t="shared" si="33"/>
        <v>512416.12999999995</v>
      </c>
      <c r="J548" s="16">
        <f t="shared" si="34"/>
        <v>469714.78583333327</v>
      </c>
      <c r="K548">
        <v>12</v>
      </c>
      <c r="L548" s="16">
        <f t="shared" si="35"/>
        <v>56365.774299999997</v>
      </c>
      <c r="M548">
        <v>0</v>
      </c>
      <c r="N548" s="16">
        <f t="shared" si="36"/>
        <v>0</v>
      </c>
    </row>
    <row r="549" spans="1:14" x14ac:dyDescent="0.25">
      <c r="A549" s="29">
        <v>38</v>
      </c>
      <c r="B549" t="s">
        <v>28</v>
      </c>
      <c r="C549" s="1" t="s">
        <v>29</v>
      </c>
      <c r="D549" t="s">
        <v>1218</v>
      </c>
      <c r="E549" t="s">
        <v>569</v>
      </c>
      <c r="F549" s="31">
        <v>7411.11</v>
      </c>
      <c r="G549" s="17">
        <v>180</v>
      </c>
      <c r="H549" s="31">
        <v>52959.46</v>
      </c>
      <c r="I549" s="31">
        <f t="shared" si="33"/>
        <v>1281040.3400000001</v>
      </c>
      <c r="J549" s="16">
        <f t="shared" si="34"/>
        <v>1174286.9783333333</v>
      </c>
      <c r="K549">
        <v>12</v>
      </c>
      <c r="L549" s="16">
        <f t="shared" si="35"/>
        <v>140914.4374</v>
      </c>
      <c r="M549">
        <v>0</v>
      </c>
      <c r="N549" s="16">
        <f t="shared" si="36"/>
        <v>0</v>
      </c>
    </row>
    <row r="550" spans="1:14" x14ac:dyDescent="0.25">
      <c r="A550" s="29">
        <v>38</v>
      </c>
      <c r="B550" t="s">
        <v>28</v>
      </c>
      <c r="C550" s="1" t="s">
        <v>29</v>
      </c>
      <c r="D550" t="s">
        <v>1219</v>
      </c>
      <c r="E550" t="s">
        <v>569</v>
      </c>
      <c r="F550" s="31">
        <v>7636.11</v>
      </c>
      <c r="G550" s="17">
        <v>72</v>
      </c>
      <c r="H550" s="31">
        <v>21827.019999999997</v>
      </c>
      <c r="I550" s="31">
        <f t="shared" si="33"/>
        <v>527972.89999999991</v>
      </c>
      <c r="J550" s="16">
        <f t="shared" si="34"/>
        <v>483975.15833333321</v>
      </c>
      <c r="K550">
        <v>12</v>
      </c>
      <c r="L550" s="16">
        <f t="shared" si="35"/>
        <v>58077.018999999986</v>
      </c>
      <c r="M550">
        <v>0</v>
      </c>
      <c r="N550" s="16">
        <f t="shared" si="36"/>
        <v>0</v>
      </c>
    </row>
    <row r="551" spans="1:14" x14ac:dyDescent="0.25">
      <c r="A551" s="29">
        <v>38</v>
      </c>
      <c r="B551" t="s">
        <v>28</v>
      </c>
      <c r="C551" s="1" t="s">
        <v>29</v>
      </c>
      <c r="D551" t="s">
        <v>1221</v>
      </c>
      <c r="E551" t="s">
        <v>569</v>
      </c>
      <c r="F551" s="31">
        <v>7411.11</v>
      </c>
      <c r="G551" s="17">
        <v>36</v>
      </c>
      <c r="H551" s="31">
        <v>10591.89</v>
      </c>
      <c r="I551" s="31">
        <f t="shared" si="33"/>
        <v>256208.06999999995</v>
      </c>
      <c r="J551" s="16">
        <f t="shared" si="34"/>
        <v>234857.39749999993</v>
      </c>
      <c r="K551">
        <v>12</v>
      </c>
      <c r="L551" s="16">
        <f t="shared" si="35"/>
        <v>28182.887699999992</v>
      </c>
      <c r="M551">
        <v>0</v>
      </c>
      <c r="N551" s="16">
        <f t="shared" si="36"/>
        <v>0</v>
      </c>
    </row>
    <row r="552" spans="1:14" x14ac:dyDescent="0.25">
      <c r="A552" s="29">
        <v>38</v>
      </c>
      <c r="B552" t="s">
        <v>28</v>
      </c>
      <c r="C552" s="1" t="s">
        <v>29</v>
      </c>
      <c r="D552" t="s">
        <v>1318</v>
      </c>
      <c r="E552" t="s">
        <v>569</v>
      </c>
      <c r="F552" s="31">
        <v>10323.4</v>
      </c>
      <c r="G552" s="17">
        <v>36</v>
      </c>
      <c r="H552" s="31">
        <v>14754.06</v>
      </c>
      <c r="I552" s="31">
        <f t="shared" si="33"/>
        <v>356888.33999999997</v>
      </c>
      <c r="J552" s="16">
        <f t="shared" si="34"/>
        <v>327147.64499999996</v>
      </c>
      <c r="K552">
        <v>12</v>
      </c>
      <c r="L552" s="16">
        <f t="shared" si="35"/>
        <v>39257.717399999994</v>
      </c>
      <c r="M552">
        <v>0</v>
      </c>
      <c r="N552" s="16">
        <f t="shared" si="36"/>
        <v>0</v>
      </c>
    </row>
    <row r="553" spans="1:14" x14ac:dyDescent="0.25">
      <c r="A553" s="29">
        <v>38</v>
      </c>
      <c r="B553" t="s">
        <v>28</v>
      </c>
      <c r="C553" s="1" t="s">
        <v>29</v>
      </c>
      <c r="D553" t="s">
        <v>1375</v>
      </c>
      <c r="E553" t="s">
        <v>569</v>
      </c>
      <c r="F553" s="31">
        <v>3752.73</v>
      </c>
      <c r="G553" s="17">
        <v>288</v>
      </c>
      <c r="H553" s="31">
        <v>42908.1</v>
      </c>
      <c r="I553" s="31">
        <f t="shared" si="33"/>
        <v>1037878.14</v>
      </c>
      <c r="J553" s="16">
        <f t="shared" si="34"/>
        <v>951388.29499999993</v>
      </c>
      <c r="K553">
        <v>12</v>
      </c>
      <c r="L553" s="16">
        <f t="shared" si="35"/>
        <v>114166.59539999999</v>
      </c>
      <c r="M553">
        <v>0</v>
      </c>
      <c r="N553" s="16">
        <f t="shared" si="36"/>
        <v>0</v>
      </c>
    </row>
    <row r="554" spans="1:14" x14ac:dyDescent="0.25">
      <c r="A554" s="29">
        <v>38</v>
      </c>
      <c r="B554" t="s">
        <v>28</v>
      </c>
      <c r="C554" s="1" t="s">
        <v>29</v>
      </c>
      <c r="D554" t="s">
        <v>1282</v>
      </c>
      <c r="E554" t="s">
        <v>569</v>
      </c>
      <c r="F554" s="31">
        <v>1503.11</v>
      </c>
      <c r="G554" s="17">
        <v>432</v>
      </c>
      <c r="H554" s="31">
        <v>25779.279999999999</v>
      </c>
      <c r="I554" s="31">
        <f t="shared" si="33"/>
        <v>623564.23999999987</v>
      </c>
      <c r="J554" s="16">
        <f t="shared" si="34"/>
        <v>571600.55333333323</v>
      </c>
      <c r="K554">
        <v>12</v>
      </c>
      <c r="L554" s="16">
        <f t="shared" si="35"/>
        <v>68592.066399999982</v>
      </c>
      <c r="M554">
        <v>0</v>
      </c>
      <c r="N554" s="16">
        <f t="shared" si="36"/>
        <v>0</v>
      </c>
    </row>
    <row r="555" spans="1:14" x14ac:dyDescent="0.25">
      <c r="A555" s="29">
        <v>38</v>
      </c>
      <c r="B555" t="s">
        <v>28</v>
      </c>
      <c r="C555" s="1" t="s">
        <v>29</v>
      </c>
      <c r="D555" t="s">
        <v>1348</v>
      </c>
      <c r="E555" t="s">
        <v>569</v>
      </c>
      <c r="F555" s="31">
        <v>956.17</v>
      </c>
      <c r="G555" s="17">
        <v>500</v>
      </c>
      <c r="H555" s="31">
        <v>18980.18</v>
      </c>
      <c r="I555" s="31">
        <f t="shared" si="33"/>
        <v>459104.82</v>
      </c>
      <c r="J555" s="16">
        <f t="shared" si="34"/>
        <v>420846.08499999996</v>
      </c>
      <c r="K555">
        <v>12</v>
      </c>
      <c r="L555" s="16">
        <f t="shared" si="35"/>
        <v>50501.530199999994</v>
      </c>
      <c r="M555">
        <v>0</v>
      </c>
      <c r="N555" s="16">
        <f t="shared" si="36"/>
        <v>0</v>
      </c>
    </row>
    <row r="556" spans="1:14" x14ac:dyDescent="0.25">
      <c r="A556" s="29">
        <v>38</v>
      </c>
      <c r="B556" t="s">
        <v>28</v>
      </c>
      <c r="C556" s="1" t="s">
        <v>29</v>
      </c>
      <c r="D556" t="s">
        <v>1251</v>
      </c>
      <c r="E556" t="s">
        <v>569</v>
      </c>
      <c r="F556" s="31">
        <v>956.17</v>
      </c>
      <c r="G556" s="17">
        <v>250</v>
      </c>
      <c r="H556" s="31">
        <v>9490.09</v>
      </c>
      <c r="I556" s="31">
        <f t="shared" si="33"/>
        <v>229552.41</v>
      </c>
      <c r="J556" s="16">
        <f t="shared" si="34"/>
        <v>210423.04249999998</v>
      </c>
      <c r="K556">
        <v>12</v>
      </c>
      <c r="L556" s="16">
        <f t="shared" si="35"/>
        <v>25250.765099999997</v>
      </c>
      <c r="M556">
        <v>0</v>
      </c>
      <c r="N556" s="16">
        <f t="shared" si="36"/>
        <v>0</v>
      </c>
    </row>
    <row r="557" spans="1:14" x14ac:dyDescent="0.25">
      <c r="A557" s="29">
        <v>38</v>
      </c>
      <c r="B557" t="s">
        <v>28</v>
      </c>
      <c r="C557" s="1" t="s">
        <v>29</v>
      </c>
      <c r="D557" t="s">
        <v>1349</v>
      </c>
      <c r="E557" t="s">
        <v>569</v>
      </c>
      <c r="F557" s="31">
        <v>956.17</v>
      </c>
      <c r="G557" s="17">
        <v>250</v>
      </c>
      <c r="H557" s="31">
        <v>9490.09</v>
      </c>
      <c r="I557" s="31">
        <f t="shared" si="33"/>
        <v>229552.41</v>
      </c>
      <c r="J557" s="16">
        <f t="shared" si="34"/>
        <v>210423.04249999998</v>
      </c>
      <c r="K557">
        <v>12</v>
      </c>
      <c r="L557" s="16">
        <f t="shared" si="35"/>
        <v>25250.765099999997</v>
      </c>
      <c r="M557">
        <v>0</v>
      </c>
      <c r="N557" s="16">
        <f t="shared" si="36"/>
        <v>0</v>
      </c>
    </row>
    <row r="558" spans="1:14" x14ac:dyDescent="0.25">
      <c r="A558" s="29">
        <v>38</v>
      </c>
      <c r="B558" t="s">
        <v>28</v>
      </c>
      <c r="C558" s="1" t="s">
        <v>29</v>
      </c>
      <c r="D558" t="s">
        <v>1252</v>
      </c>
      <c r="E558" t="s">
        <v>569</v>
      </c>
      <c r="F558" s="31">
        <v>956.17</v>
      </c>
      <c r="G558" s="17">
        <v>250</v>
      </c>
      <c r="H558" s="31">
        <v>9490.09</v>
      </c>
      <c r="I558" s="31">
        <f t="shared" si="33"/>
        <v>229552.41</v>
      </c>
      <c r="J558" s="16">
        <f t="shared" si="34"/>
        <v>210423.04249999998</v>
      </c>
      <c r="K558">
        <v>12</v>
      </c>
      <c r="L558" s="16">
        <f t="shared" si="35"/>
        <v>25250.765099999997</v>
      </c>
      <c r="M558">
        <v>0</v>
      </c>
      <c r="N558" s="16">
        <f t="shared" si="36"/>
        <v>0</v>
      </c>
    </row>
    <row r="559" spans="1:14" x14ac:dyDescent="0.25">
      <c r="A559" s="29">
        <v>38</v>
      </c>
      <c r="B559" t="s">
        <v>28</v>
      </c>
      <c r="C559" s="1" t="s">
        <v>29</v>
      </c>
      <c r="D559" t="s">
        <v>1305</v>
      </c>
      <c r="E559" t="s">
        <v>569</v>
      </c>
      <c r="F559" s="31">
        <v>956.17</v>
      </c>
      <c r="G559" s="17">
        <v>250</v>
      </c>
      <c r="H559" s="31">
        <v>9490.09</v>
      </c>
      <c r="I559" s="31">
        <f t="shared" si="33"/>
        <v>229552.41</v>
      </c>
      <c r="J559" s="16">
        <f t="shared" si="34"/>
        <v>210423.04249999998</v>
      </c>
      <c r="K559">
        <v>12</v>
      </c>
      <c r="L559" s="16">
        <f t="shared" si="35"/>
        <v>25250.765099999997</v>
      </c>
      <c r="M559">
        <v>0</v>
      </c>
      <c r="N559" s="16">
        <f t="shared" si="36"/>
        <v>0</v>
      </c>
    </row>
    <row r="560" spans="1:14" x14ac:dyDescent="0.25">
      <c r="A560" s="29">
        <v>38</v>
      </c>
      <c r="B560" t="s">
        <v>28</v>
      </c>
      <c r="C560" s="1" t="s">
        <v>29</v>
      </c>
      <c r="D560" t="s">
        <v>1350</v>
      </c>
      <c r="E560" t="s">
        <v>569</v>
      </c>
      <c r="F560" s="31">
        <v>956.14</v>
      </c>
      <c r="G560" s="17">
        <v>250</v>
      </c>
      <c r="H560" s="31">
        <v>9490.09</v>
      </c>
      <c r="I560" s="31">
        <f t="shared" si="33"/>
        <v>229544.91</v>
      </c>
      <c r="J560" s="16">
        <f t="shared" si="34"/>
        <v>210416.16749999998</v>
      </c>
      <c r="K560">
        <v>12</v>
      </c>
      <c r="L560" s="16">
        <f t="shared" si="35"/>
        <v>25249.940099999996</v>
      </c>
      <c r="M560">
        <v>0</v>
      </c>
      <c r="N560" s="16">
        <f t="shared" si="36"/>
        <v>0</v>
      </c>
    </row>
    <row r="561" spans="1:14" x14ac:dyDescent="0.25">
      <c r="A561" s="29">
        <v>38</v>
      </c>
      <c r="B561" t="s">
        <v>28</v>
      </c>
      <c r="C561" s="1" t="s">
        <v>29</v>
      </c>
      <c r="D561" t="s">
        <v>1351</v>
      </c>
      <c r="E561" t="s">
        <v>569</v>
      </c>
      <c r="F561" s="31">
        <v>955.86</v>
      </c>
      <c r="G561" s="17">
        <v>250</v>
      </c>
      <c r="H561" s="31">
        <v>9487.39</v>
      </c>
      <c r="I561" s="31">
        <f t="shared" si="33"/>
        <v>229477.61</v>
      </c>
      <c r="J561" s="16">
        <f t="shared" si="34"/>
        <v>210354.4758333333</v>
      </c>
      <c r="K561">
        <v>12</v>
      </c>
      <c r="L561" s="16">
        <f t="shared" si="35"/>
        <v>25242.537099999994</v>
      </c>
      <c r="M561">
        <v>0</v>
      </c>
      <c r="N561" s="16">
        <f t="shared" si="36"/>
        <v>0</v>
      </c>
    </row>
    <row r="562" spans="1:14" x14ac:dyDescent="0.25">
      <c r="A562" s="29">
        <v>38</v>
      </c>
      <c r="B562" t="s">
        <v>28</v>
      </c>
      <c r="C562" s="1" t="s">
        <v>29</v>
      </c>
      <c r="D562" t="s">
        <v>1265</v>
      </c>
      <c r="E562" t="s">
        <v>569</v>
      </c>
      <c r="F562" s="31">
        <v>956.17</v>
      </c>
      <c r="G562" s="17">
        <v>250</v>
      </c>
      <c r="H562" s="31">
        <v>9490.09</v>
      </c>
      <c r="I562" s="31">
        <f t="shared" si="33"/>
        <v>229552.41</v>
      </c>
      <c r="J562" s="16">
        <f t="shared" si="34"/>
        <v>210423.04249999998</v>
      </c>
      <c r="K562">
        <v>12</v>
      </c>
      <c r="L562" s="16">
        <f t="shared" si="35"/>
        <v>25250.765099999997</v>
      </c>
      <c r="M562">
        <v>0</v>
      </c>
      <c r="N562" s="16">
        <f t="shared" si="36"/>
        <v>0</v>
      </c>
    </row>
    <row r="563" spans="1:14" x14ac:dyDescent="0.25">
      <c r="A563" s="29">
        <v>38</v>
      </c>
      <c r="B563" t="s">
        <v>28</v>
      </c>
      <c r="C563" s="1" t="s">
        <v>29</v>
      </c>
      <c r="D563" t="s">
        <v>1266</v>
      </c>
      <c r="E563" t="s">
        <v>569</v>
      </c>
      <c r="F563" s="31">
        <v>257.52</v>
      </c>
      <c r="G563" s="17">
        <v>2160</v>
      </c>
      <c r="H563" s="31">
        <v>22083.79</v>
      </c>
      <c r="I563" s="31">
        <f t="shared" si="33"/>
        <v>534159.40999999992</v>
      </c>
      <c r="J563" s="16">
        <f t="shared" si="34"/>
        <v>489646.12583333324</v>
      </c>
      <c r="K563">
        <v>12</v>
      </c>
      <c r="L563" s="16">
        <f t="shared" si="35"/>
        <v>58757.535099999986</v>
      </c>
      <c r="M563">
        <v>0</v>
      </c>
      <c r="N563" s="16">
        <f t="shared" si="36"/>
        <v>0</v>
      </c>
    </row>
    <row r="564" spans="1:14" x14ac:dyDescent="0.25">
      <c r="A564" s="29">
        <v>38</v>
      </c>
      <c r="B564" t="s">
        <v>28</v>
      </c>
      <c r="C564" s="1" t="s">
        <v>29</v>
      </c>
      <c r="D564" t="s">
        <v>1393</v>
      </c>
      <c r="E564" t="s">
        <v>569</v>
      </c>
      <c r="F564" s="31">
        <v>257.52</v>
      </c>
      <c r="G564" s="17">
        <v>2160</v>
      </c>
      <c r="H564" s="31">
        <v>22083.79</v>
      </c>
      <c r="I564" s="31">
        <f t="shared" si="33"/>
        <v>534159.40999999992</v>
      </c>
      <c r="J564" s="16">
        <f t="shared" si="34"/>
        <v>489646.12583333324</v>
      </c>
      <c r="K564">
        <v>12</v>
      </c>
      <c r="L564" s="16">
        <f t="shared" si="35"/>
        <v>58757.535099999986</v>
      </c>
      <c r="M564">
        <v>0</v>
      </c>
      <c r="N564" s="16">
        <f t="shared" si="36"/>
        <v>0</v>
      </c>
    </row>
    <row r="565" spans="1:14" x14ac:dyDescent="0.25">
      <c r="A565" s="29">
        <v>38</v>
      </c>
      <c r="B565" t="s">
        <v>28</v>
      </c>
      <c r="C565" s="1" t="s">
        <v>29</v>
      </c>
      <c r="D565" t="s">
        <v>1267</v>
      </c>
      <c r="E565" t="s">
        <v>569</v>
      </c>
      <c r="F565" s="31">
        <v>257.52</v>
      </c>
      <c r="G565" s="17">
        <v>5760</v>
      </c>
      <c r="H565" s="31">
        <v>58888.29</v>
      </c>
      <c r="I565" s="31">
        <f t="shared" si="33"/>
        <v>1424426.91</v>
      </c>
      <c r="J565" s="16">
        <f t="shared" si="34"/>
        <v>1305724.6675</v>
      </c>
      <c r="K565">
        <v>12</v>
      </c>
      <c r="L565" s="16">
        <f t="shared" si="35"/>
        <v>156686.9601</v>
      </c>
      <c r="M565">
        <v>0</v>
      </c>
      <c r="N565" s="16">
        <f t="shared" si="36"/>
        <v>0</v>
      </c>
    </row>
    <row r="566" spans="1:14" x14ac:dyDescent="0.25">
      <c r="A566" s="29">
        <v>38</v>
      </c>
      <c r="B566" t="s">
        <v>28</v>
      </c>
      <c r="C566" s="1" t="s">
        <v>29</v>
      </c>
      <c r="D566" t="s">
        <v>1269</v>
      </c>
      <c r="E566" t="s">
        <v>569</v>
      </c>
      <c r="F566" s="31">
        <v>4753.1499999999996</v>
      </c>
      <c r="G566" s="17">
        <v>144</v>
      </c>
      <c r="H566" s="31">
        <v>27172.97</v>
      </c>
      <c r="I566" s="31">
        <f t="shared" si="33"/>
        <v>657280.63</v>
      </c>
      <c r="J566" s="16">
        <f t="shared" si="34"/>
        <v>602507.24416666664</v>
      </c>
      <c r="K566">
        <v>12</v>
      </c>
      <c r="L566" s="16">
        <f t="shared" si="35"/>
        <v>72300.869299999991</v>
      </c>
      <c r="M566">
        <v>0</v>
      </c>
      <c r="N566" s="16">
        <f t="shared" si="36"/>
        <v>0</v>
      </c>
    </row>
    <row r="567" spans="1:14" x14ac:dyDescent="0.25">
      <c r="A567" s="29">
        <v>38</v>
      </c>
      <c r="B567" t="s">
        <v>28</v>
      </c>
      <c r="C567" s="1" t="s">
        <v>29</v>
      </c>
      <c r="D567" t="s">
        <v>1255</v>
      </c>
      <c r="E567" t="s">
        <v>569</v>
      </c>
      <c r="F567" s="31">
        <v>3752.73</v>
      </c>
      <c r="G567" s="17">
        <v>144</v>
      </c>
      <c r="H567" s="31">
        <v>21454.05</v>
      </c>
      <c r="I567" s="31">
        <f t="shared" si="33"/>
        <v>518939.07</v>
      </c>
      <c r="J567" s="16">
        <f t="shared" si="34"/>
        <v>475694.14749999996</v>
      </c>
      <c r="K567">
        <v>12</v>
      </c>
      <c r="L567" s="16">
        <f t="shared" si="35"/>
        <v>57083.297699999996</v>
      </c>
      <c r="M567">
        <v>0</v>
      </c>
      <c r="N567" s="16">
        <f t="shared" si="36"/>
        <v>0</v>
      </c>
    </row>
    <row r="568" spans="1:14" x14ac:dyDescent="0.25">
      <c r="A568" s="29">
        <v>38</v>
      </c>
      <c r="B568" t="s">
        <v>28</v>
      </c>
      <c r="C568" s="1" t="s">
        <v>29</v>
      </c>
      <c r="D568" t="s">
        <v>1224</v>
      </c>
      <c r="E568" t="s">
        <v>569</v>
      </c>
      <c r="F568" s="31">
        <v>4571.62</v>
      </c>
      <c r="G568" s="17">
        <v>36</v>
      </c>
      <c r="H568" s="31">
        <v>6533.34</v>
      </c>
      <c r="I568" s="31">
        <f t="shared" si="33"/>
        <v>158044.98000000001</v>
      </c>
      <c r="J568" s="16">
        <f t="shared" si="34"/>
        <v>144874.565</v>
      </c>
      <c r="K568">
        <v>12</v>
      </c>
      <c r="L568" s="16">
        <f t="shared" si="35"/>
        <v>17384.947800000002</v>
      </c>
      <c r="M568">
        <v>0</v>
      </c>
      <c r="N568" s="16">
        <f t="shared" si="36"/>
        <v>0</v>
      </c>
    </row>
    <row r="569" spans="1:14" x14ac:dyDescent="0.25">
      <c r="A569" s="29">
        <v>38</v>
      </c>
      <c r="B569" t="s">
        <v>28</v>
      </c>
      <c r="C569" s="1" t="s">
        <v>29</v>
      </c>
      <c r="D569" t="s">
        <v>1404</v>
      </c>
      <c r="E569" t="s">
        <v>569</v>
      </c>
      <c r="F569">
        <v>3752.74</v>
      </c>
      <c r="G569">
        <v>24</v>
      </c>
      <c r="H569">
        <v>3575.67</v>
      </c>
      <c r="I569" s="31">
        <f t="shared" si="33"/>
        <v>86490.09</v>
      </c>
      <c r="J569" s="16">
        <f t="shared" ref="J569:J632" si="37">11/12*I569</f>
        <v>79282.58249999999</v>
      </c>
      <c r="K569">
        <v>12</v>
      </c>
      <c r="L569" s="16">
        <f t="shared" ref="L569:L632" si="38">J569*K569/100</f>
        <v>9513.9098999999987</v>
      </c>
      <c r="M569">
        <v>0</v>
      </c>
      <c r="N569" s="16">
        <f t="shared" ref="N569:N632" si="39">M569*J569/100</f>
        <v>0</v>
      </c>
    </row>
    <row r="570" spans="1:14" x14ac:dyDescent="0.25">
      <c r="A570" s="29">
        <v>38</v>
      </c>
      <c r="B570" t="s">
        <v>28</v>
      </c>
      <c r="C570" s="1" t="s">
        <v>29</v>
      </c>
      <c r="D570" t="s">
        <v>1309</v>
      </c>
      <c r="E570" t="s">
        <v>569</v>
      </c>
      <c r="F570">
        <v>2190.17</v>
      </c>
      <c r="G570">
        <v>144</v>
      </c>
      <c r="H570">
        <v>12520.72</v>
      </c>
      <c r="I570" s="31">
        <f t="shared" si="33"/>
        <v>302863.76</v>
      </c>
      <c r="J570" s="16">
        <f t="shared" si="37"/>
        <v>277625.11333333334</v>
      </c>
      <c r="K570">
        <v>12</v>
      </c>
      <c r="L570" s="16">
        <f t="shared" si="38"/>
        <v>33315.013600000006</v>
      </c>
      <c r="M570">
        <v>0</v>
      </c>
      <c r="N570" s="16">
        <f t="shared" si="39"/>
        <v>0</v>
      </c>
    </row>
    <row r="571" spans="1:14" x14ac:dyDescent="0.25">
      <c r="A571" s="29">
        <v>38</v>
      </c>
      <c r="B571" t="s">
        <v>28</v>
      </c>
      <c r="C571" s="1" t="s">
        <v>29</v>
      </c>
      <c r="D571" t="s">
        <v>1231</v>
      </c>
      <c r="E571" t="s">
        <v>569</v>
      </c>
      <c r="F571">
        <v>1503.11</v>
      </c>
      <c r="G571">
        <v>432</v>
      </c>
      <c r="H571">
        <v>25779.279999999999</v>
      </c>
      <c r="I571" s="31">
        <f t="shared" si="33"/>
        <v>623564.23999999987</v>
      </c>
      <c r="J571" s="16">
        <f t="shared" si="37"/>
        <v>571600.55333333323</v>
      </c>
      <c r="K571">
        <v>12</v>
      </c>
      <c r="L571" s="16">
        <f t="shared" si="38"/>
        <v>68592.066399999982</v>
      </c>
      <c r="M571">
        <v>0</v>
      </c>
      <c r="N571" s="16">
        <f t="shared" si="39"/>
        <v>0</v>
      </c>
    </row>
    <row r="572" spans="1:14" x14ac:dyDescent="0.25">
      <c r="A572" s="29">
        <v>38</v>
      </c>
      <c r="B572" t="s">
        <v>28</v>
      </c>
      <c r="C572" s="1" t="s">
        <v>29</v>
      </c>
      <c r="D572" t="s">
        <v>1271</v>
      </c>
      <c r="E572" t="s">
        <v>569</v>
      </c>
      <c r="F572">
        <v>1503.11</v>
      </c>
      <c r="G572">
        <v>432</v>
      </c>
      <c r="H572">
        <v>25779.279999999999</v>
      </c>
      <c r="I572" s="31">
        <f t="shared" si="33"/>
        <v>623564.23999999987</v>
      </c>
      <c r="J572" s="16">
        <f t="shared" si="37"/>
        <v>571600.55333333323</v>
      </c>
      <c r="K572">
        <v>12</v>
      </c>
      <c r="L572" s="16">
        <f t="shared" si="38"/>
        <v>68592.066399999982</v>
      </c>
      <c r="M572">
        <v>0</v>
      </c>
      <c r="N572" s="16">
        <f t="shared" si="39"/>
        <v>0</v>
      </c>
    </row>
    <row r="573" spans="1:14" x14ac:dyDescent="0.25">
      <c r="A573" s="29">
        <v>38</v>
      </c>
      <c r="B573" t="s">
        <v>28</v>
      </c>
      <c r="C573" s="1" t="s">
        <v>29</v>
      </c>
      <c r="D573" t="s">
        <v>1225</v>
      </c>
      <c r="E573" t="s">
        <v>569</v>
      </c>
      <c r="F573">
        <v>7636.11</v>
      </c>
      <c r="G573">
        <v>72</v>
      </c>
      <c r="H573">
        <v>21827.019999999997</v>
      </c>
      <c r="I573" s="31">
        <f t="shared" si="33"/>
        <v>527972.89999999991</v>
      </c>
      <c r="J573" s="16">
        <f t="shared" si="37"/>
        <v>483975.15833333321</v>
      </c>
      <c r="K573">
        <v>12</v>
      </c>
      <c r="L573" s="16">
        <f t="shared" si="38"/>
        <v>58077.018999999986</v>
      </c>
      <c r="M573">
        <v>0</v>
      </c>
      <c r="N573" s="16">
        <f t="shared" si="39"/>
        <v>0</v>
      </c>
    </row>
    <row r="574" spans="1:14" x14ac:dyDescent="0.25">
      <c r="A574" s="29">
        <v>38</v>
      </c>
      <c r="B574" t="s">
        <v>28</v>
      </c>
      <c r="C574" s="1" t="s">
        <v>29</v>
      </c>
      <c r="D574" t="s">
        <v>1227</v>
      </c>
      <c r="E574" t="s">
        <v>569</v>
      </c>
      <c r="F574">
        <v>7411.11</v>
      </c>
      <c r="G574">
        <v>72</v>
      </c>
      <c r="H574">
        <v>21183.79</v>
      </c>
      <c r="I574" s="31">
        <f t="shared" si="33"/>
        <v>512416.12999999995</v>
      </c>
      <c r="J574" s="16">
        <f t="shared" si="37"/>
        <v>469714.78583333327</v>
      </c>
      <c r="K574">
        <v>12</v>
      </c>
      <c r="L574" s="16">
        <f t="shared" si="38"/>
        <v>56365.774299999997</v>
      </c>
      <c r="M574">
        <v>0</v>
      </c>
      <c r="N574" s="16">
        <f t="shared" si="39"/>
        <v>0</v>
      </c>
    </row>
    <row r="575" spans="1:14" x14ac:dyDescent="0.25">
      <c r="A575" s="29">
        <v>38</v>
      </c>
      <c r="B575" t="s">
        <v>28</v>
      </c>
      <c r="C575" s="1" t="s">
        <v>29</v>
      </c>
      <c r="D575" t="s">
        <v>1405</v>
      </c>
      <c r="E575" t="s">
        <v>569</v>
      </c>
      <c r="F575">
        <v>10213.209999999999</v>
      </c>
      <c r="G575">
        <v>3</v>
      </c>
      <c r="H575">
        <v>1216.22</v>
      </c>
      <c r="I575" s="31">
        <f t="shared" si="33"/>
        <v>29423.409999999996</v>
      </c>
      <c r="J575" s="16">
        <f t="shared" si="37"/>
        <v>26971.459166666664</v>
      </c>
      <c r="K575">
        <v>12</v>
      </c>
      <c r="L575" s="16">
        <f t="shared" si="38"/>
        <v>3236.5750999999996</v>
      </c>
      <c r="M575">
        <v>0</v>
      </c>
      <c r="N575" s="16">
        <f t="shared" si="39"/>
        <v>0</v>
      </c>
    </row>
    <row r="576" spans="1:14" x14ac:dyDescent="0.25">
      <c r="A576" s="29">
        <v>38</v>
      </c>
      <c r="B576" t="s">
        <v>28</v>
      </c>
      <c r="C576" s="1" t="s">
        <v>29</v>
      </c>
      <c r="D576" t="s">
        <v>1322</v>
      </c>
      <c r="E576" t="s">
        <v>569</v>
      </c>
      <c r="F576">
        <v>7250.15</v>
      </c>
      <c r="G576">
        <v>3</v>
      </c>
      <c r="H576">
        <v>863.96</v>
      </c>
      <c r="I576" s="31">
        <f t="shared" si="33"/>
        <v>20886.489999999998</v>
      </c>
      <c r="J576" s="16">
        <f t="shared" si="37"/>
        <v>19145.949166666665</v>
      </c>
      <c r="K576">
        <v>12</v>
      </c>
      <c r="L576" s="16">
        <f t="shared" si="38"/>
        <v>2297.5138999999999</v>
      </c>
      <c r="M576">
        <v>0</v>
      </c>
      <c r="N576" s="16">
        <f t="shared" si="39"/>
        <v>0</v>
      </c>
    </row>
    <row r="577" spans="1:14" x14ac:dyDescent="0.25">
      <c r="A577" s="29">
        <v>38</v>
      </c>
      <c r="B577" t="s">
        <v>28</v>
      </c>
      <c r="C577" s="1" t="s">
        <v>29</v>
      </c>
      <c r="D577" t="s">
        <v>1228</v>
      </c>
      <c r="E577" t="s">
        <v>569</v>
      </c>
      <c r="F577">
        <v>7250.15</v>
      </c>
      <c r="G577">
        <v>3</v>
      </c>
      <c r="H577">
        <v>863.96</v>
      </c>
      <c r="I577" s="31">
        <f t="shared" si="33"/>
        <v>20886.489999999998</v>
      </c>
      <c r="J577" s="16">
        <f t="shared" si="37"/>
        <v>19145.949166666665</v>
      </c>
      <c r="K577">
        <v>12</v>
      </c>
      <c r="L577" s="16">
        <f t="shared" si="38"/>
        <v>2297.5138999999999</v>
      </c>
      <c r="M577">
        <v>0</v>
      </c>
      <c r="N577" s="16">
        <f t="shared" si="39"/>
        <v>0</v>
      </c>
    </row>
    <row r="578" spans="1:14" x14ac:dyDescent="0.25">
      <c r="A578" s="29">
        <v>38</v>
      </c>
      <c r="B578" t="s">
        <v>28</v>
      </c>
      <c r="C578" s="1" t="s">
        <v>29</v>
      </c>
      <c r="D578" t="s">
        <v>1229</v>
      </c>
      <c r="E578" t="s">
        <v>569</v>
      </c>
      <c r="F578">
        <v>7250.15</v>
      </c>
      <c r="G578">
        <v>3</v>
      </c>
      <c r="H578">
        <v>863.96</v>
      </c>
      <c r="I578" s="31">
        <f t="shared" si="33"/>
        <v>20886.489999999998</v>
      </c>
      <c r="J578" s="16">
        <f t="shared" si="37"/>
        <v>19145.949166666665</v>
      </c>
      <c r="K578">
        <v>12</v>
      </c>
      <c r="L578" s="16">
        <f t="shared" si="38"/>
        <v>2297.5138999999999</v>
      </c>
      <c r="M578">
        <v>0</v>
      </c>
      <c r="N578" s="16">
        <f t="shared" si="39"/>
        <v>0</v>
      </c>
    </row>
    <row r="579" spans="1:14" x14ac:dyDescent="0.25">
      <c r="A579" s="29">
        <v>38</v>
      </c>
      <c r="B579" t="s">
        <v>28</v>
      </c>
      <c r="C579" s="1" t="s">
        <v>29</v>
      </c>
      <c r="D579" t="s">
        <v>1384</v>
      </c>
      <c r="E579" t="s">
        <v>569</v>
      </c>
      <c r="F579">
        <v>7250.15</v>
      </c>
      <c r="G579">
        <v>3</v>
      </c>
      <c r="H579">
        <v>863.96</v>
      </c>
      <c r="I579" s="31">
        <f t="shared" ref="I579:I642" si="40">G579*F579-H579</f>
        <v>20886.489999999998</v>
      </c>
      <c r="J579" s="16">
        <f t="shared" si="37"/>
        <v>19145.949166666665</v>
      </c>
      <c r="K579">
        <v>12</v>
      </c>
      <c r="L579" s="16">
        <f t="shared" si="38"/>
        <v>2297.5138999999999</v>
      </c>
      <c r="M579">
        <v>0</v>
      </c>
      <c r="N579" s="16">
        <f t="shared" si="39"/>
        <v>0</v>
      </c>
    </row>
    <row r="580" spans="1:14" x14ac:dyDescent="0.25">
      <c r="A580" s="29">
        <v>38</v>
      </c>
      <c r="B580" t="s">
        <v>28</v>
      </c>
      <c r="C580" s="1" t="s">
        <v>29</v>
      </c>
      <c r="D580" t="s">
        <v>1230</v>
      </c>
      <c r="E580" t="s">
        <v>569</v>
      </c>
      <c r="F580">
        <v>7250.15</v>
      </c>
      <c r="G580">
        <v>3</v>
      </c>
      <c r="H580">
        <v>863.96</v>
      </c>
      <c r="I580" s="31">
        <f t="shared" si="40"/>
        <v>20886.489999999998</v>
      </c>
      <c r="J580" s="16">
        <f t="shared" si="37"/>
        <v>19145.949166666665</v>
      </c>
      <c r="K580">
        <v>12</v>
      </c>
      <c r="L580" s="16">
        <f t="shared" si="38"/>
        <v>2297.5138999999999</v>
      </c>
      <c r="M580">
        <v>0</v>
      </c>
      <c r="N580" s="16">
        <f t="shared" si="39"/>
        <v>0</v>
      </c>
    </row>
    <row r="581" spans="1:14" x14ac:dyDescent="0.25">
      <c r="A581" s="29">
        <v>38</v>
      </c>
      <c r="B581" t="s">
        <v>28</v>
      </c>
      <c r="C581" s="1" t="s">
        <v>29</v>
      </c>
      <c r="D581" t="s">
        <v>1272</v>
      </c>
      <c r="E581" t="s">
        <v>569</v>
      </c>
      <c r="F581">
        <v>3680</v>
      </c>
      <c r="G581">
        <v>60</v>
      </c>
      <c r="H581">
        <v>8766.66</v>
      </c>
      <c r="I581" s="31">
        <f t="shared" si="40"/>
        <v>212033.34</v>
      </c>
      <c r="J581" s="16">
        <f t="shared" si="37"/>
        <v>194363.89499999999</v>
      </c>
      <c r="K581">
        <v>12</v>
      </c>
      <c r="L581" s="16">
        <f t="shared" si="38"/>
        <v>23323.667399999998</v>
      </c>
      <c r="M581">
        <v>0</v>
      </c>
      <c r="N581" s="16">
        <f t="shared" si="39"/>
        <v>0</v>
      </c>
    </row>
    <row r="582" spans="1:14" x14ac:dyDescent="0.25">
      <c r="A582" s="29">
        <v>38</v>
      </c>
      <c r="B582" t="s">
        <v>28</v>
      </c>
      <c r="C582" s="1" t="s">
        <v>29</v>
      </c>
      <c r="D582" t="s">
        <v>1406</v>
      </c>
      <c r="E582" t="s">
        <v>569</v>
      </c>
      <c r="F582">
        <v>3680</v>
      </c>
      <c r="G582">
        <v>60</v>
      </c>
      <c r="H582">
        <v>8766.66</v>
      </c>
      <c r="I582" s="31">
        <f t="shared" si="40"/>
        <v>212033.34</v>
      </c>
      <c r="J582" s="16">
        <f t="shared" si="37"/>
        <v>194363.89499999999</v>
      </c>
      <c r="K582">
        <v>12</v>
      </c>
      <c r="L582" s="16">
        <f t="shared" si="38"/>
        <v>23323.667399999998</v>
      </c>
      <c r="M582">
        <v>0</v>
      </c>
      <c r="N582" s="16">
        <f t="shared" si="39"/>
        <v>0</v>
      </c>
    </row>
    <row r="583" spans="1:14" x14ac:dyDescent="0.25">
      <c r="A583" s="29">
        <v>38</v>
      </c>
      <c r="B583" t="s">
        <v>28</v>
      </c>
      <c r="C583" s="1" t="s">
        <v>29</v>
      </c>
      <c r="D583" t="s">
        <v>1273</v>
      </c>
      <c r="E583" t="s">
        <v>569</v>
      </c>
      <c r="F583">
        <v>3680</v>
      </c>
      <c r="G583">
        <v>60</v>
      </c>
      <c r="H583">
        <v>8766.66</v>
      </c>
      <c r="I583" s="31">
        <f t="shared" si="40"/>
        <v>212033.34</v>
      </c>
      <c r="J583" s="16">
        <f t="shared" si="37"/>
        <v>194363.89499999999</v>
      </c>
      <c r="K583">
        <v>12</v>
      </c>
      <c r="L583" s="16">
        <f t="shared" si="38"/>
        <v>23323.667399999998</v>
      </c>
      <c r="M583">
        <v>0</v>
      </c>
      <c r="N583" s="16">
        <f t="shared" si="39"/>
        <v>0</v>
      </c>
    </row>
    <row r="584" spans="1:14" x14ac:dyDescent="0.25">
      <c r="A584" s="29">
        <v>38</v>
      </c>
      <c r="B584" t="s">
        <v>28</v>
      </c>
      <c r="C584" s="1" t="s">
        <v>29</v>
      </c>
      <c r="D584" t="s">
        <v>1274</v>
      </c>
      <c r="E584" t="s">
        <v>569</v>
      </c>
      <c r="F584">
        <v>3680</v>
      </c>
      <c r="G584">
        <v>60</v>
      </c>
      <c r="H584">
        <v>8766.66</v>
      </c>
      <c r="I584" s="31">
        <f t="shared" si="40"/>
        <v>212033.34</v>
      </c>
      <c r="J584" s="16">
        <f t="shared" si="37"/>
        <v>194363.89499999999</v>
      </c>
      <c r="K584">
        <v>12</v>
      </c>
      <c r="L584" s="16">
        <f t="shared" si="38"/>
        <v>23323.667399999998</v>
      </c>
      <c r="M584">
        <v>0</v>
      </c>
      <c r="N584" s="16">
        <f t="shared" si="39"/>
        <v>0</v>
      </c>
    </row>
    <row r="585" spans="1:14" x14ac:dyDescent="0.25">
      <c r="A585" s="29">
        <v>38</v>
      </c>
      <c r="B585" t="s">
        <v>28</v>
      </c>
      <c r="C585" s="1" t="s">
        <v>29</v>
      </c>
      <c r="D585" t="s">
        <v>1256</v>
      </c>
      <c r="E585" t="s">
        <v>569</v>
      </c>
      <c r="F585">
        <v>3680</v>
      </c>
      <c r="G585">
        <v>60</v>
      </c>
      <c r="H585">
        <v>8766.66</v>
      </c>
      <c r="I585" s="31">
        <f t="shared" si="40"/>
        <v>212033.34</v>
      </c>
      <c r="J585" s="16">
        <f t="shared" si="37"/>
        <v>194363.89499999999</v>
      </c>
      <c r="K585">
        <v>12</v>
      </c>
      <c r="L585" s="16">
        <f t="shared" si="38"/>
        <v>23323.667399999998</v>
      </c>
      <c r="M585">
        <v>0</v>
      </c>
      <c r="N585" s="16">
        <f t="shared" si="39"/>
        <v>0</v>
      </c>
    </row>
    <row r="586" spans="1:14" x14ac:dyDescent="0.25">
      <c r="A586" s="29">
        <v>38</v>
      </c>
      <c r="B586" t="s">
        <v>28</v>
      </c>
      <c r="C586" s="1" t="s">
        <v>29</v>
      </c>
      <c r="D586" t="s">
        <v>1364</v>
      </c>
      <c r="E586" t="s">
        <v>569</v>
      </c>
      <c r="F586">
        <v>10213.209999999999</v>
      </c>
      <c r="G586">
        <v>3</v>
      </c>
      <c r="H586">
        <v>1216.22</v>
      </c>
      <c r="I586" s="31">
        <f t="shared" si="40"/>
        <v>29423.409999999996</v>
      </c>
      <c r="J586" s="16">
        <f t="shared" si="37"/>
        <v>26971.459166666664</v>
      </c>
      <c r="K586">
        <v>12</v>
      </c>
      <c r="L586" s="16">
        <f t="shared" si="38"/>
        <v>3236.5750999999996</v>
      </c>
      <c r="M586">
        <v>0</v>
      </c>
      <c r="N586" s="16">
        <f t="shared" si="39"/>
        <v>0</v>
      </c>
    </row>
    <row r="587" spans="1:14" x14ac:dyDescent="0.25">
      <c r="A587" s="29">
        <v>38</v>
      </c>
      <c r="B587" t="s">
        <v>28</v>
      </c>
      <c r="C587" s="1" t="s">
        <v>29</v>
      </c>
      <c r="D587" t="s">
        <v>1365</v>
      </c>
      <c r="E587" t="s">
        <v>569</v>
      </c>
      <c r="F587">
        <v>10213.209999999999</v>
      </c>
      <c r="G587">
        <v>3</v>
      </c>
      <c r="H587">
        <v>1216.22</v>
      </c>
      <c r="I587" s="31">
        <f t="shared" si="40"/>
        <v>29423.409999999996</v>
      </c>
      <c r="J587" s="16">
        <f t="shared" si="37"/>
        <v>26971.459166666664</v>
      </c>
      <c r="K587">
        <v>12</v>
      </c>
      <c r="L587" s="16">
        <f t="shared" si="38"/>
        <v>3236.5750999999996</v>
      </c>
      <c r="M587">
        <v>0</v>
      </c>
      <c r="N587" s="16">
        <f t="shared" si="39"/>
        <v>0</v>
      </c>
    </row>
    <row r="588" spans="1:14" x14ac:dyDescent="0.25">
      <c r="A588" s="29">
        <v>38</v>
      </c>
      <c r="B588" t="s">
        <v>28</v>
      </c>
      <c r="C588" s="1" t="s">
        <v>29</v>
      </c>
      <c r="D588" t="s">
        <v>1407</v>
      </c>
      <c r="E588" t="s">
        <v>569</v>
      </c>
      <c r="F588">
        <v>10213.209999999999</v>
      </c>
      <c r="G588">
        <v>3</v>
      </c>
      <c r="H588">
        <v>1216.22</v>
      </c>
      <c r="I588" s="31">
        <f t="shared" si="40"/>
        <v>29423.409999999996</v>
      </c>
      <c r="J588" s="16">
        <f t="shared" si="37"/>
        <v>26971.459166666664</v>
      </c>
      <c r="K588">
        <v>12</v>
      </c>
      <c r="L588" s="16">
        <f t="shared" si="38"/>
        <v>3236.5750999999996</v>
      </c>
      <c r="M588">
        <v>0</v>
      </c>
      <c r="N588" s="16">
        <f t="shared" si="39"/>
        <v>0</v>
      </c>
    </row>
    <row r="589" spans="1:14" x14ac:dyDescent="0.25">
      <c r="A589" s="29">
        <v>38</v>
      </c>
      <c r="B589" t="s">
        <v>28</v>
      </c>
      <c r="C589" s="1" t="s">
        <v>29</v>
      </c>
      <c r="D589" t="s">
        <v>1311</v>
      </c>
      <c r="E589" t="s">
        <v>569</v>
      </c>
      <c r="F589">
        <v>10213.209999999999</v>
      </c>
      <c r="G589">
        <v>3</v>
      </c>
      <c r="H589">
        <v>1216.22</v>
      </c>
      <c r="I589" s="31">
        <f t="shared" si="40"/>
        <v>29423.409999999996</v>
      </c>
      <c r="J589" s="16">
        <f t="shared" si="37"/>
        <v>26971.459166666664</v>
      </c>
      <c r="K589">
        <v>12</v>
      </c>
      <c r="L589" s="16">
        <f t="shared" si="38"/>
        <v>3236.5750999999996</v>
      </c>
      <c r="M589">
        <v>0</v>
      </c>
      <c r="N589" s="16">
        <f t="shared" si="39"/>
        <v>0</v>
      </c>
    </row>
    <row r="590" spans="1:14" x14ac:dyDescent="0.25">
      <c r="A590" s="29">
        <v>39</v>
      </c>
      <c r="B590" t="s">
        <v>28</v>
      </c>
      <c r="C590" s="1" t="s">
        <v>29</v>
      </c>
      <c r="D590" t="s">
        <v>1408</v>
      </c>
      <c r="E590" t="s">
        <v>569</v>
      </c>
      <c r="F590">
        <v>4612.54</v>
      </c>
      <c r="G590">
        <v>24</v>
      </c>
      <c r="H590">
        <v>1107.21</v>
      </c>
      <c r="I590" s="31">
        <f t="shared" si="40"/>
        <v>109593.74999999999</v>
      </c>
      <c r="J590" s="16">
        <f t="shared" si="37"/>
        <v>100460.93749999999</v>
      </c>
      <c r="K590">
        <v>12</v>
      </c>
      <c r="L590" s="16">
        <f t="shared" si="38"/>
        <v>12055.312499999998</v>
      </c>
      <c r="M590">
        <v>0</v>
      </c>
      <c r="N590" s="16">
        <f t="shared" si="39"/>
        <v>0</v>
      </c>
    </row>
    <row r="591" spans="1:14" x14ac:dyDescent="0.25">
      <c r="A591" s="29">
        <v>39</v>
      </c>
      <c r="B591" t="s">
        <v>28</v>
      </c>
      <c r="C591" s="1" t="s">
        <v>29</v>
      </c>
      <c r="D591" t="s">
        <v>1383</v>
      </c>
      <c r="E591" t="s">
        <v>569</v>
      </c>
      <c r="F591">
        <v>4612.54</v>
      </c>
      <c r="G591">
        <v>48</v>
      </c>
      <c r="H591">
        <v>2214.41</v>
      </c>
      <c r="I591" s="31">
        <f t="shared" si="40"/>
        <v>219187.50999999998</v>
      </c>
      <c r="J591" s="16">
        <f t="shared" si="37"/>
        <v>200921.88416666663</v>
      </c>
      <c r="K591">
        <v>12</v>
      </c>
      <c r="L591" s="16">
        <f t="shared" si="38"/>
        <v>24110.626099999994</v>
      </c>
      <c r="M591">
        <v>0</v>
      </c>
      <c r="N591" s="16">
        <f t="shared" si="39"/>
        <v>0</v>
      </c>
    </row>
    <row r="592" spans="1:14" x14ac:dyDescent="0.25">
      <c r="A592" s="29">
        <v>39</v>
      </c>
      <c r="B592" t="s">
        <v>28</v>
      </c>
      <c r="C592" s="1" t="s">
        <v>29</v>
      </c>
      <c r="D592" t="s">
        <v>1258</v>
      </c>
      <c r="E592" t="s">
        <v>569</v>
      </c>
      <c r="F592">
        <v>3752.72</v>
      </c>
      <c r="G592">
        <v>48</v>
      </c>
      <c r="H592">
        <v>1801.8</v>
      </c>
      <c r="I592" s="31">
        <f t="shared" si="40"/>
        <v>178328.76</v>
      </c>
      <c r="J592" s="16">
        <f t="shared" si="37"/>
        <v>163468.03</v>
      </c>
      <c r="K592">
        <v>12</v>
      </c>
      <c r="L592" s="16">
        <f t="shared" si="38"/>
        <v>19616.1636</v>
      </c>
      <c r="M592">
        <v>0</v>
      </c>
      <c r="N592" s="16">
        <f t="shared" si="39"/>
        <v>0</v>
      </c>
    </row>
    <row r="593" spans="1:14" x14ac:dyDescent="0.25">
      <c r="A593" s="29">
        <v>39</v>
      </c>
      <c r="B593" t="s">
        <v>28</v>
      </c>
      <c r="C593" s="1" t="s">
        <v>29</v>
      </c>
      <c r="D593" t="s">
        <v>1260</v>
      </c>
      <c r="E593" t="s">
        <v>569</v>
      </c>
      <c r="F593">
        <v>3752.73</v>
      </c>
      <c r="G593">
        <v>72</v>
      </c>
      <c r="H593">
        <v>2701.8</v>
      </c>
      <c r="I593" s="31">
        <f t="shared" si="40"/>
        <v>267494.76</v>
      </c>
      <c r="J593" s="16">
        <f t="shared" si="37"/>
        <v>245203.53</v>
      </c>
      <c r="K593">
        <v>12</v>
      </c>
      <c r="L593" s="16">
        <f t="shared" si="38"/>
        <v>29424.423599999998</v>
      </c>
      <c r="M593">
        <v>0</v>
      </c>
      <c r="N593" s="16">
        <f t="shared" si="39"/>
        <v>0</v>
      </c>
    </row>
    <row r="594" spans="1:14" x14ac:dyDescent="0.25">
      <c r="A594" s="29">
        <v>39</v>
      </c>
      <c r="B594" t="s">
        <v>28</v>
      </c>
      <c r="C594" s="1" t="s">
        <v>29</v>
      </c>
      <c r="D594" t="s">
        <v>1261</v>
      </c>
      <c r="E594" t="s">
        <v>569</v>
      </c>
      <c r="F594">
        <v>3752.72</v>
      </c>
      <c r="G594">
        <v>48</v>
      </c>
      <c r="H594">
        <v>1801.8</v>
      </c>
      <c r="I594" s="31">
        <f t="shared" si="40"/>
        <v>178328.76</v>
      </c>
      <c r="J594" s="16">
        <f t="shared" si="37"/>
        <v>163468.03</v>
      </c>
      <c r="K594">
        <v>12</v>
      </c>
      <c r="L594" s="16">
        <f t="shared" si="38"/>
        <v>19616.1636</v>
      </c>
      <c r="M594">
        <v>0</v>
      </c>
      <c r="N594" s="16">
        <f t="shared" si="39"/>
        <v>0</v>
      </c>
    </row>
    <row r="595" spans="1:14" x14ac:dyDescent="0.25">
      <c r="A595" s="29">
        <v>39</v>
      </c>
      <c r="B595" t="s">
        <v>28</v>
      </c>
      <c r="C595" s="1" t="s">
        <v>29</v>
      </c>
      <c r="D595" t="s">
        <v>1278</v>
      </c>
      <c r="E595" t="s">
        <v>569</v>
      </c>
      <c r="F595">
        <v>1503.12</v>
      </c>
      <c r="G595">
        <v>24</v>
      </c>
      <c r="H595">
        <v>360.36</v>
      </c>
      <c r="I595" s="31">
        <f t="shared" si="40"/>
        <v>35714.519999999997</v>
      </c>
      <c r="J595" s="16">
        <f t="shared" si="37"/>
        <v>32738.309999999994</v>
      </c>
      <c r="K595">
        <v>12</v>
      </c>
      <c r="L595" s="16">
        <f t="shared" si="38"/>
        <v>3928.5971999999992</v>
      </c>
      <c r="M595">
        <v>0</v>
      </c>
      <c r="N595" s="16">
        <f t="shared" si="39"/>
        <v>0</v>
      </c>
    </row>
    <row r="596" spans="1:14" x14ac:dyDescent="0.25">
      <c r="A596" s="29">
        <v>39</v>
      </c>
      <c r="B596" t="s">
        <v>28</v>
      </c>
      <c r="C596" s="1" t="s">
        <v>29</v>
      </c>
      <c r="D596" t="s">
        <v>1214</v>
      </c>
      <c r="E596" t="s">
        <v>569</v>
      </c>
      <c r="F596">
        <v>2190.17</v>
      </c>
      <c r="G596">
        <v>48</v>
      </c>
      <c r="H596">
        <v>1051.3499999999999</v>
      </c>
      <c r="I596" s="31">
        <f t="shared" si="40"/>
        <v>104076.81</v>
      </c>
      <c r="J596" s="16">
        <f t="shared" si="37"/>
        <v>95403.742499999993</v>
      </c>
      <c r="K596">
        <v>12</v>
      </c>
      <c r="L596" s="16">
        <f t="shared" si="38"/>
        <v>11448.4491</v>
      </c>
      <c r="M596">
        <v>0</v>
      </c>
      <c r="N596" s="16">
        <f t="shared" si="39"/>
        <v>0</v>
      </c>
    </row>
    <row r="597" spans="1:14" x14ac:dyDescent="0.25">
      <c r="A597" s="29">
        <v>39</v>
      </c>
      <c r="B597" t="s">
        <v>28</v>
      </c>
      <c r="C597" s="1" t="s">
        <v>29</v>
      </c>
      <c r="D597" t="s">
        <v>1241</v>
      </c>
      <c r="E597" t="s">
        <v>569</v>
      </c>
      <c r="F597">
        <v>956.17</v>
      </c>
      <c r="G597">
        <v>100</v>
      </c>
      <c r="H597">
        <v>955.86</v>
      </c>
      <c r="I597" s="31">
        <f t="shared" si="40"/>
        <v>94661.14</v>
      </c>
      <c r="J597" s="16">
        <f t="shared" si="37"/>
        <v>86772.71166666667</v>
      </c>
      <c r="K597">
        <v>12</v>
      </c>
      <c r="L597" s="16">
        <f t="shared" si="38"/>
        <v>10412.725400000001</v>
      </c>
      <c r="M597">
        <v>0</v>
      </c>
      <c r="N597" s="16">
        <f t="shared" si="39"/>
        <v>0</v>
      </c>
    </row>
    <row r="598" spans="1:14" x14ac:dyDescent="0.25">
      <c r="A598" s="29">
        <v>39</v>
      </c>
      <c r="B598" t="s">
        <v>28</v>
      </c>
      <c r="C598" s="1" t="s">
        <v>29</v>
      </c>
      <c r="D598" t="s">
        <v>1245</v>
      </c>
      <c r="E598" t="s">
        <v>569</v>
      </c>
      <c r="F598">
        <v>956.17</v>
      </c>
      <c r="G598">
        <v>150</v>
      </c>
      <c r="H598">
        <v>1434.23</v>
      </c>
      <c r="I598" s="31">
        <f t="shared" si="40"/>
        <v>141991.26999999999</v>
      </c>
      <c r="J598" s="16">
        <f t="shared" si="37"/>
        <v>130158.66416666665</v>
      </c>
      <c r="K598">
        <v>12</v>
      </c>
      <c r="L598" s="16">
        <f t="shared" si="38"/>
        <v>15619.039699999998</v>
      </c>
      <c r="M598">
        <v>0</v>
      </c>
      <c r="N598" s="16">
        <f t="shared" si="39"/>
        <v>0</v>
      </c>
    </row>
    <row r="599" spans="1:14" x14ac:dyDescent="0.25">
      <c r="A599" s="29">
        <v>39</v>
      </c>
      <c r="B599" t="s">
        <v>28</v>
      </c>
      <c r="C599" s="1" t="s">
        <v>29</v>
      </c>
      <c r="D599" t="s">
        <v>1218</v>
      </c>
      <c r="E599" t="s">
        <v>569</v>
      </c>
      <c r="F599">
        <v>7411.11</v>
      </c>
      <c r="G599">
        <v>24</v>
      </c>
      <c r="H599">
        <v>1779.28</v>
      </c>
      <c r="I599" s="31">
        <f t="shared" si="40"/>
        <v>176087.36</v>
      </c>
      <c r="J599" s="16">
        <f t="shared" si="37"/>
        <v>161413.4133333333</v>
      </c>
      <c r="K599">
        <v>12</v>
      </c>
      <c r="L599" s="16">
        <f t="shared" si="38"/>
        <v>19369.609599999996</v>
      </c>
      <c r="M599">
        <v>0</v>
      </c>
      <c r="N599" s="16">
        <f t="shared" si="39"/>
        <v>0</v>
      </c>
    </row>
    <row r="600" spans="1:14" x14ac:dyDescent="0.25">
      <c r="A600" s="29">
        <v>39</v>
      </c>
      <c r="B600" t="s">
        <v>28</v>
      </c>
      <c r="C600" s="1" t="s">
        <v>29</v>
      </c>
      <c r="D600" t="s">
        <v>1247</v>
      </c>
      <c r="E600" t="s">
        <v>569</v>
      </c>
      <c r="F600">
        <v>974.43</v>
      </c>
      <c r="G600">
        <v>150</v>
      </c>
      <c r="H600">
        <v>1461.26</v>
      </c>
      <c r="I600" s="31">
        <f t="shared" si="40"/>
        <v>144703.24</v>
      </c>
      <c r="J600" s="16">
        <f t="shared" si="37"/>
        <v>132644.63666666666</v>
      </c>
      <c r="K600">
        <v>12</v>
      </c>
      <c r="L600" s="16">
        <f t="shared" si="38"/>
        <v>15917.356399999999</v>
      </c>
      <c r="M600">
        <v>0</v>
      </c>
      <c r="N600" s="16">
        <f t="shared" si="39"/>
        <v>0</v>
      </c>
    </row>
    <row r="601" spans="1:14" x14ac:dyDescent="0.25">
      <c r="A601" s="29">
        <v>39</v>
      </c>
      <c r="B601" t="s">
        <v>28</v>
      </c>
      <c r="C601" s="1" t="s">
        <v>29</v>
      </c>
      <c r="D601" t="s">
        <v>1270</v>
      </c>
      <c r="E601" t="s">
        <v>569</v>
      </c>
      <c r="F601">
        <v>1503.1</v>
      </c>
      <c r="G601">
        <v>72</v>
      </c>
      <c r="H601">
        <v>1081.98</v>
      </c>
      <c r="I601" s="31">
        <f t="shared" si="40"/>
        <v>107141.22</v>
      </c>
      <c r="J601" s="16">
        <f t="shared" si="37"/>
        <v>98212.785000000003</v>
      </c>
      <c r="K601">
        <v>12</v>
      </c>
      <c r="L601" s="16">
        <f t="shared" si="38"/>
        <v>11785.5342</v>
      </c>
      <c r="M601">
        <v>0</v>
      </c>
      <c r="N601" s="16">
        <f t="shared" si="39"/>
        <v>0</v>
      </c>
    </row>
    <row r="602" spans="1:14" x14ac:dyDescent="0.25">
      <c r="A602" s="29">
        <v>40</v>
      </c>
      <c r="B602" t="s">
        <v>28</v>
      </c>
      <c r="C602" s="1" t="s">
        <v>29</v>
      </c>
      <c r="D602" t="s">
        <v>1277</v>
      </c>
      <c r="E602" t="s">
        <v>569</v>
      </c>
      <c r="F602">
        <v>1503.11</v>
      </c>
      <c r="G602">
        <v>144</v>
      </c>
      <c r="H602">
        <v>6493.69</v>
      </c>
      <c r="I602" s="31">
        <f t="shared" si="40"/>
        <v>209954.15</v>
      </c>
      <c r="J602" s="16">
        <f t="shared" si="37"/>
        <v>192457.97083333333</v>
      </c>
      <c r="K602">
        <v>12</v>
      </c>
      <c r="L602" s="16">
        <f t="shared" si="38"/>
        <v>23094.9565</v>
      </c>
      <c r="M602">
        <v>0</v>
      </c>
      <c r="N602" s="16">
        <f t="shared" si="39"/>
        <v>0</v>
      </c>
    </row>
    <row r="603" spans="1:14" x14ac:dyDescent="0.25">
      <c r="A603" s="29">
        <v>40</v>
      </c>
      <c r="B603" t="s">
        <v>28</v>
      </c>
      <c r="C603" s="1" t="s">
        <v>29</v>
      </c>
      <c r="D603" t="s">
        <v>1279</v>
      </c>
      <c r="E603" t="s">
        <v>569</v>
      </c>
      <c r="F603">
        <v>1503.11</v>
      </c>
      <c r="G603">
        <v>144</v>
      </c>
      <c r="H603">
        <v>6493.69</v>
      </c>
      <c r="I603" s="31">
        <f t="shared" si="40"/>
        <v>209954.15</v>
      </c>
      <c r="J603" s="16">
        <f t="shared" si="37"/>
        <v>192457.97083333333</v>
      </c>
      <c r="K603">
        <v>12</v>
      </c>
      <c r="L603" s="16">
        <f t="shared" si="38"/>
        <v>23094.9565</v>
      </c>
      <c r="M603">
        <v>0</v>
      </c>
      <c r="N603" s="16">
        <f t="shared" si="39"/>
        <v>0</v>
      </c>
    </row>
    <row r="604" spans="1:14" x14ac:dyDescent="0.25">
      <c r="A604" s="29">
        <v>40</v>
      </c>
      <c r="B604" t="s">
        <v>28</v>
      </c>
      <c r="C604" s="1" t="s">
        <v>29</v>
      </c>
      <c r="D604" t="s">
        <v>1341</v>
      </c>
      <c r="E604" t="s">
        <v>569</v>
      </c>
      <c r="F604">
        <v>956.17</v>
      </c>
      <c r="G604">
        <v>250</v>
      </c>
      <c r="H604">
        <v>7171.17</v>
      </c>
      <c r="I604" s="31">
        <f t="shared" si="40"/>
        <v>231871.33</v>
      </c>
      <c r="J604" s="16">
        <f t="shared" si="37"/>
        <v>212548.71916666665</v>
      </c>
      <c r="K604">
        <v>12</v>
      </c>
      <c r="L604" s="16">
        <f t="shared" si="38"/>
        <v>25505.846299999997</v>
      </c>
      <c r="M604">
        <v>0</v>
      </c>
      <c r="N604" s="16">
        <f t="shared" si="39"/>
        <v>0</v>
      </c>
    </row>
    <row r="605" spans="1:14" x14ac:dyDescent="0.25">
      <c r="A605" s="29">
        <v>40</v>
      </c>
      <c r="B605" t="s">
        <v>28</v>
      </c>
      <c r="C605" s="1" t="s">
        <v>29</v>
      </c>
      <c r="D605" t="s">
        <v>1394</v>
      </c>
      <c r="E605" t="s">
        <v>569</v>
      </c>
      <c r="F605">
        <v>956.17</v>
      </c>
      <c r="G605">
        <v>250</v>
      </c>
      <c r="H605">
        <v>7171.17</v>
      </c>
      <c r="I605" s="31">
        <f t="shared" si="40"/>
        <v>231871.33</v>
      </c>
      <c r="J605" s="16">
        <f t="shared" si="37"/>
        <v>212548.71916666665</v>
      </c>
      <c r="K605">
        <v>12</v>
      </c>
      <c r="L605" s="16">
        <f t="shared" si="38"/>
        <v>25505.846299999997</v>
      </c>
      <c r="M605">
        <v>0</v>
      </c>
      <c r="N605" s="16">
        <f t="shared" si="39"/>
        <v>0</v>
      </c>
    </row>
    <row r="606" spans="1:14" x14ac:dyDescent="0.25">
      <c r="A606" s="29">
        <v>40</v>
      </c>
      <c r="B606" t="s">
        <v>28</v>
      </c>
      <c r="C606" s="1" t="s">
        <v>29</v>
      </c>
      <c r="D606" t="s">
        <v>1244</v>
      </c>
      <c r="E606" t="s">
        <v>569</v>
      </c>
      <c r="F606">
        <v>956.17</v>
      </c>
      <c r="G606">
        <v>350</v>
      </c>
      <c r="H606">
        <v>10039.64</v>
      </c>
      <c r="I606" s="31">
        <f t="shared" si="40"/>
        <v>324619.86</v>
      </c>
      <c r="J606" s="16">
        <f t="shared" si="37"/>
        <v>297568.20499999996</v>
      </c>
      <c r="K606">
        <v>12</v>
      </c>
      <c r="L606" s="16">
        <f t="shared" si="38"/>
        <v>35708.184599999993</v>
      </c>
      <c r="M606">
        <v>0</v>
      </c>
      <c r="N606" s="16">
        <f t="shared" si="39"/>
        <v>0</v>
      </c>
    </row>
    <row r="607" spans="1:14" x14ac:dyDescent="0.25">
      <c r="A607" s="29">
        <v>40</v>
      </c>
      <c r="B607" t="s">
        <v>28</v>
      </c>
      <c r="C607" s="1" t="s">
        <v>29</v>
      </c>
      <c r="D607" t="s">
        <v>1245</v>
      </c>
      <c r="E607" t="s">
        <v>569</v>
      </c>
      <c r="F607">
        <v>956.17</v>
      </c>
      <c r="G607">
        <v>500</v>
      </c>
      <c r="H607">
        <v>14342.34</v>
      </c>
      <c r="I607" s="31">
        <f t="shared" si="40"/>
        <v>463742.66</v>
      </c>
      <c r="J607" s="16">
        <f t="shared" si="37"/>
        <v>425097.4383333333</v>
      </c>
      <c r="K607">
        <v>12</v>
      </c>
      <c r="L607" s="16">
        <f t="shared" si="38"/>
        <v>51011.692599999995</v>
      </c>
      <c r="M607">
        <v>0</v>
      </c>
      <c r="N607" s="16">
        <f t="shared" si="39"/>
        <v>0</v>
      </c>
    </row>
    <row r="608" spans="1:14" x14ac:dyDescent="0.25">
      <c r="A608" s="29">
        <v>40</v>
      </c>
      <c r="B608" t="s">
        <v>28</v>
      </c>
      <c r="C608" s="1" t="s">
        <v>29</v>
      </c>
      <c r="D608" t="s">
        <v>1297</v>
      </c>
      <c r="E608" t="s">
        <v>569</v>
      </c>
      <c r="F608">
        <v>270.49</v>
      </c>
      <c r="G608">
        <v>720</v>
      </c>
      <c r="H608">
        <v>5842.34</v>
      </c>
      <c r="I608" s="31">
        <f t="shared" si="40"/>
        <v>188910.46000000002</v>
      </c>
      <c r="J608" s="16">
        <f t="shared" si="37"/>
        <v>173167.92166666669</v>
      </c>
      <c r="K608">
        <v>12</v>
      </c>
      <c r="L608" s="16">
        <f t="shared" si="38"/>
        <v>20780.150600000004</v>
      </c>
      <c r="M608">
        <v>0</v>
      </c>
      <c r="N608" s="16">
        <f t="shared" si="39"/>
        <v>0</v>
      </c>
    </row>
    <row r="609" spans="1:14" x14ac:dyDescent="0.25">
      <c r="A609" s="29">
        <v>40</v>
      </c>
      <c r="B609" t="s">
        <v>28</v>
      </c>
      <c r="C609" s="1" t="s">
        <v>29</v>
      </c>
      <c r="D609" t="s">
        <v>1299</v>
      </c>
      <c r="E609" t="s">
        <v>569</v>
      </c>
      <c r="F609">
        <v>270.49</v>
      </c>
      <c r="G609">
        <v>1440</v>
      </c>
      <c r="H609">
        <v>11684.68</v>
      </c>
      <c r="I609" s="31">
        <f t="shared" si="40"/>
        <v>377820.92000000004</v>
      </c>
      <c r="J609" s="16">
        <f t="shared" si="37"/>
        <v>346335.84333333338</v>
      </c>
      <c r="K609">
        <v>12</v>
      </c>
      <c r="L609" s="16">
        <f t="shared" si="38"/>
        <v>41560.301200000009</v>
      </c>
      <c r="M609">
        <v>0</v>
      </c>
      <c r="N609" s="16">
        <f t="shared" si="39"/>
        <v>0</v>
      </c>
    </row>
    <row r="610" spans="1:14" x14ac:dyDescent="0.25">
      <c r="A610" s="29">
        <v>40</v>
      </c>
      <c r="B610" t="s">
        <v>28</v>
      </c>
      <c r="C610" s="1" t="s">
        <v>29</v>
      </c>
      <c r="D610" t="s">
        <v>1301</v>
      </c>
      <c r="E610" t="s">
        <v>569</v>
      </c>
      <c r="F610">
        <v>270.49</v>
      </c>
      <c r="G610">
        <v>720</v>
      </c>
      <c r="H610">
        <v>5842.34</v>
      </c>
      <c r="I610" s="31">
        <f t="shared" si="40"/>
        <v>188910.46000000002</v>
      </c>
      <c r="J610" s="16">
        <f t="shared" si="37"/>
        <v>173167.92166666669</v>
      </c>
      <c r="K610">
        <v>12</v>
      </c>
      <c r="L610" s="16">
        <f t="shared" si="38"/>
        <v>20780.150600000004</v>
      </c>
      <c r="M610">
        <v>0</v>
      </c>
      <c r="N610" s="16">
        <f t="shared" si="39"/>
        <v>0</v>
      </c>
    </row>
    <row r="611" spans="1:14" x14ac:dyDescent="0.25">
      <c r="A611" s="29">
        <v>40</v>
      </c>
      <c r="B611" t="s">
        <v>28</v>
      </c>
      <c r="C611" s="1" t="s">
        <v>29</v>
      </c>
      <c r="D611" t="s">
        <v>1282</v>
      </c>
      <c r="E611" t="s">
        <v>569</v>
      </c>
      <c r="F611">
        <v>1503.11</v>
      </c>
      <c r="G611">
        <v>288</v>
      </c>
      <c r="H611">
        <v>12986.49</v>
      </c>
      <c r="I611" s="31">
        <f t="shared" si="40"/>
        <v>419909.19</v>
      </c>
      <c r="J611" s="16">
        <f t="shared" si="37"/>
        <v>384916.75750000001</v>
      </c>
      <c r="K611">
        <v>12</v>
      </c>
      <c r="L611" s="16">
        <f t="shared" si="38"/>
        <v>46190.010900000001</v>
      </c>
      <c r="M611">
        <v>0</v>
      </c>
      <c r="N611" s="16">
        <f t="shared" si="39"/>
        <v>0</v>
      </c>
    </row>
    <row r="612" spans="1:14" x14ac:dyDescent="0.25">
      <c r="A612" s="29">
        <v>40</v>
      </c>
      <c r="B612" t="s">
        <v>28</v>
      </c>
      <c r="C612" s="1" t="s">
        <v>29</v>
      </c>
      <c r="D612" t="s">
        <v>1224</v>
      </c>
      <c r="E612" t="s">
        <v>569</v>
      </c>
      <c r="F612">
        <v>4571.63</v>
      </c>
      <c r="G612">
        <v>72</v>
      </c>
      <c r="H612">
        <v>9874.77</v>
      </c>
      <c r="I612" s="31">
        <f t="shared" si="40"/>
        <v>319282.58999999997</v>
      </c>
      <c r="J612" s="16">
        <f t="shared" si="37"/>
        <v>292675.70749999996</v>
      </c>
      <c r="K612">
        <v>12</v>
      </c>
      <c r="L612" s="16">
        <f t="shared" si="38"/>
        <v>35121.084899999994</v>
      </c>
      <c r="M612">
        <v>0</v>
      </c>
      <c r="N612" s="16">
        <f t="shared" si="39"/>
        <v>0</v>
      </c>
    </row>
    <row r="613" spans="1:14" x14ac:dyDescent="0.25">
      <c r="A613" s="29">
        <v>40</v>
      </c>
      <c r="B613" t="s">
        <v>28</v>
      </c>
      <c r="C613" s="1" t="s">
        <v>29</v>
      </c>
      <c r="D613" t="s">
        <v>1231</v>
      </c>
      <c r="E613" t="s">
        <v>569</v>
      </c>
      <c r="F613">
        <v>1503.11</v>
      </c>
      <c r="G613">
        <v>144</v>
      </c>
      <c r="H613">
        <v>6493.69</v>
      </c>
      <c r="I613" s="31">
        <f t="shared" si="40"/>
        <v>209954.15</v>
      </c>
      <c r="J613" s="16">
        <f t="shared" si="37"/>
        <v>192457.97083333333</v>
      </c>
      <c r="K613">
        <v>12</v>
      </c>
      <c r="L613" s="16">
        <f t="shared" si="38"/>
        <v>23094.9565</v>
      </c>
      <c r="M613">
        <v>0</v>
      </c>
      <c r="N613" s="16">
        <f t="shared" si="39"/>
        <v>0</v>
      </c>
    </row>
    <row r="614" spans="1:14" x14ac:dyDescent="0.25">
      <c r="A614" s="29">
        <v>40</v>
      </c>
      <c r="B614" t="s">
        <v>28</v>
      </c>
      <c r="C614" s="1" t="s">
        <v>29</v>
      </c>
      <c r="D614" t="s">
        <v>1271</v>
      </c>
      <c r="E614" t="s">
        <v>569</v>
      </c>
      <c r="F614">
        <v>1503.11</v>
      </c>
      <c r="G614">
        <v>144</v>
      </c>
      <c r="H614">
        <v>6493.69</v>
      </c>
      <c r="I614" s="31">
        <f t="shared" si="40"/>
        <v>209954.15</v>
      </c>
      <c r="J614" s="16">
        <f t="shared" si="37"/>
        <v>192457.97083333333</v>
      </c>
      <c r="K614">
        <v>12</v>
      </c>
      <c r="L614" s="16">
        <f t="shared" si="38"/>
        <v>23094.9565</v>
      </c>
      <c r="M614">
        <v>0</v>
      </c>
      <c r="N614" s="16">
        <f t="shared" si="39"/>
        <v>0</v>
      </c>
    </row>
    <row r="615" spans="1:14" x14ac:dyDescent="0.25">
      <c r="A615" s="29">
        <v>41</v>
      </c>
      <c r="B615" t="s">
        <v>28</v>
      </c>
      <c r="C615" s="1" t="s">
        <v>29</v>
      </c>
      <c r="D615" t="s">
        <v>1409</v>
      </c>
      <c r="E615" t="s">
        <v>569</v>
      </c>
      <c r="F615">
        <v>4612.54</v>
      </c>
      <c r="G615">
        <v>24</v>
      </c>
      <c r="H615">
        <v>1107.21</v>
      </c>
      <c r="I615" s="31">
        <f t="shared" si="40"/>
        <v>109593.74999999999</v>
      </c>
      <c r="J615" s="16">
        <f t="shared" si="37"/>
        <v>100460.93749999999</v>
      </c>
      <c r="K615">
        <v>12</v>
      </c>
      <c r="L615" s="16">
        <f t="shared" si="38"/>
        <v>12055.312499999998</v>
      </c>
      <c r="M615">
        <v>0</v>
      </c>
      <c r="N615" s="16">
        <f t="shared" si="39"/>
        <v>0</v>
      </c>
    </row>
    <row r="616" spans="1:14" x14ac:dyDescent="0.25">
      <c r="A616" s="29">
        <v>41</v>
      </c>
      <c r="B616" t="s">
        <v>28</v>
      </c>
      <c r="C616" s="1" t="s">
        <v>29</v>
      </c>
      <c r="D616" t="s">
        <v>1277</v>
      </c>
      <c r="E616" t="s">
        <v>569</v>
      </c>
      <c r="F616">
        <v>1503.12</v>
      </c>
      <c r="G616">
        <v>24</v>
      </c>
      <c r="H616">
        <v>360.36</v>
      </c>
      <c r="I616" s="31">
        <f t="shared" si="40"/>
        <v>35714.519999999997</v>
      </c>
      <c r="J616" s="16">
        <f t="shared" si="37"/>
        <v>32738.309999999994</v>
      </c>
      <c r="K616">
        <v>12</v>
      </c>
      <c r="L616" s="16">
        <f t="shared" si="38"/>
        <v>3928.5971999999992</v>
      </c>
      <c r="M616">
        <v>0</v>
      </c>
      <c r="N616" s="16">
        <f t="shared" si="39"/>
        <v>0</v>
      </c>
    </row>
    <row r="617" spans="1:14" x14ac:dyDescent="0.25">
      <c r="A617" s="29">
        <v>41</v>
      </c>
      <c r="B617" t="s">
        <v>28</v>
      </c>
      <c r="C617" s="1" t="s">
        <v>29</v>
      </c>
      <c r="D617" t="s">
        <v>1278</v>
      </c>
      <c r="E617" t="s">
        <v>569</v>
      </c>
      <c r="F617">
        <v>1503.12</v>
      </c>
      <c r="G617">
        <v>24</v>
      </c>
      <c r="H617">
        <v>360.36</v>
      </c>
      <c r="I617" s="31">
        <f t="shared" si="40"/>
        <v>35714.519999999997</v>
      </c>
      <c r="J617" s="16">
        <f t="shared" si="37"/>
        <v>32738.309999999994</v>
      </c>
      <c r="K617">
        <v>12</v>
      </c>
      <c r="L617" s="16">
        <f t="shared" si="38"/>
        <v>3928.5971999999992</v>
      </c>
      <c r="M617">
        <v>0</v>
      </c>
      <c r="N617" s="16">
        <f t="shared" si="39"/>
        <v>0</v>
      </c>
    </row>
    <row r="618" spans="1:14" x14ac:dyDescent="0.25">
      <c r="A618" s="29">
        <v>41</v>
      </c>
      <c r="B618" t="s">
        <v>28</v>
      </c>
      <c r="C618" s="1" t="s">
        <v>29</v>
      </c>
      <c r="D618" t="s">
        <v>1212</v>
      </c>
      <c r="E618" t="s">
        <v>569</v>
      </c>
      <c r="F618">
        <v>1503.12</v>
      </c>
      <c r="G618">
        <v>24</v>
      </c>
      <c r="H618">
        <v>360.36</v>
      </c>
      <c r="I618" s="31">
        <f t="shared" si="40"/>
        <v>35714.519999999997</v>
      </c>
      <c r="J618" s="16">
        <f t="shared" si="37"/>
        <v>32738.309999999994</v>
      </c>
      <c r="K618">
        <v>12</v>
      </c>
      <c r="L618" s="16">
        <f t="shared" si="38"/>
        <v>3928.5971999999992</v>
      </c>
      <c r="M618">
        <v>0</v>
      </c>
      <c r="N618" s="16">
        <f t="shared" si="39"/>
        <v>0</v>
      </c>
    </row>
    <row r="619" spans="1:14" x14ac:dyDescent="0.25">
      <c r="A619" s="29">
        <v>41</v>
      </c>
      <c r="B619" t="s">
        <v>28</v>
      </c>
      <c r="C619" s="1" t="s">
        <v>29</v>
      </c>
      <c r="D619" t="s">
        <v>1385</v>
      </c>
      <c r="E619" t="s">
        <v>569</v>
      </c>
      <c r="F619">
        <v>956.18</v>
      </c>
      <c r="G619">
        <v>50</v>
      </c>
      <c r="H619">
        <v>478.38</v>
      </c>
      <c r="I619" s="31">
        <f t="shared" si="40"/>
        <v>47330.62</v>
      </c>
      <c r="J619" s="16">
        <f t="shared" si="37"/>
        <v>43386.401666666665</v>
      </c>
      <c r="K619">
        <v>12</v>
      </c>
      <c r="L619" s="16">
        <f t="shared" si="38"/>
        <v>5206.3681999999999</v>
      </c>
      <c r="M619">
        <v>0</v>
      </c>
      <c r="N619" s="16">
        <f t="shared" si="39"/>
        <v>0</v>
      </c>
    </row>
    <row r="620" spans="1:14" x14ac:dyDescent="0.25">
      <c r="A620" s="29">
        <v>41</v>
      </c>
      <c r="B620" t="s">
        <v>28</v>
      </c>
      <c r="C620" s="1" t="s">
        <v>29</v>
      </c>
      <c r="D620" t="s">
        <v>1316</v>
      </c>
      <c r="E620" t="s">
        <v>569</v>
      </c>
      <c r="F620">
        <v>956.17</v>
      </c>
      <c r="G620">
        <v>100</v>
      </c>
      <c r="H620">
        <v>955.86</v>
      </c>
      <c r="I620" s="31">
        <f t="shared" si="40"/>
        <v>94661.14</v>
      </c>
      <c r="J620" s="16">
        <f t="shared" si="37"/>
        <v>86772.71166666667</v>
      </c>
      <c r="K620">
        <v>12</v>
      </c>
      <c r="L620" s="16">
        <f t="shared" si="38"/>
        <v>10412.725400000001</v>
      </c>
      <c r="M620">
        <v>0</v>
      </c>
      <c r="N620" s="16">
        <f t="shared" si="39"/>
        <v>0</v>
      </c>
    </row>
    <row r="621" spans="1:14" x14ac:dyDescent="0.25">
      <c r="A621" s="29">
        <v>41</v>
      </c>
      <c r="B621" t="s">
        <v>28</v>
      </c>
      <c r="C621" s="1" t="s">
        <v>29</v>
      </c>
      <c r="D621" t="s">
        <v>1378</v>
      </c>
      <c r="E621" t="s">
        <v>569</v>
      </c>
      <c r="F621">
        <v>270.49</v>
      </c>
      <c r="G621">
        <v>120</v>
      </c>
      <c r="H621">
        <v>325.23</v>
      </c>
      <c r="I621" s="31">
        <f t="shared" si="40"/>
        <v>32133.570000000003</v>
      </c>
      <c r="J621" s="16">
        <f t="shared" si="37"/>
        <v>29455.772500000003</v>
      </c>
      <c r="K621">
        <v>12</v>
      </c>
      <c r="L621" s="16">
        <f t="shared" si="38"/>
        <v>3534.6927000000001</v>
      </c>
      <c r="M621">
        <v>0</v>
      </c>
      <c r="N621" s="16">
        <f t="shared" si="39"/>
        <v>0</v>
      </c>
    </row>
    <row r="622" spans="1:14" x14ac:dyDescent="0.25">
      <c r="A622" s="29">
        <v>41</v>
      </c>
      <c r="B622" t="s">
        <v>28</v>
      </c>
      <c r="C622" s="1" t="s">
        <v>29</v>
      </c>
      <c r="D622" t="s">
        <v>1410</v>
      </c>
      <c r="E622" t="s">
        <v>569</v>
      </c>
      <c r="F622">
        <v>270.49</v>
      </c>
      <c r="G622">
        <v>120</v>
      </c>
      <c r="H622">
        <v>324.32</v>
      </c>
      <c r="I622" s="31">
        <f t="shared" si="40"/>
        <v>32134.480000000003</v>
      </c>
      <c r="J622" s="16">
        <f t="shared" si="37"/>
        <v>29456.60666666667</v>
      </c>
      <c r="K622">
        <v>12</v>
      </c>
      <c r="L622" s="16">
        <f t="shared" si="38"/>
        <v>3534.7928000000002</v>
      </c>
      <c r="M622">
        <v>0</v>
      </c>
      <c r="N622" s="16">
        <f t="shared" si="39"/>
        <v>0</v>
      </c>
    </row>
    <row r="623" spans="1:14" x14ac:dyDescent="0.25">
      <c r="A623" s="29">
        <v>41</v>
      </c>
      <c r="B623" t="s">
        <v>28</v>
      </c>
      <c r="C623" s="1" t="s">
        <v>29</v>
      </c>
      <c r="D623" t="s">
        <v>1386</v>
      </c>
      <c r="E623" t="s">
        <v>569</v>
      </c>
      <c r="F623">
        <v>270.49</v>
      </c>
      <c r="G623">
        <v>120</v>
      </c>
      <c r="H623">
        <v>324.32</v>
      </c>
      <c r="I623" s="31">
        <f t="shared" si="40"/>
        <v>32134.480000000003</v>
      </c>
      <c r="J623" s="16">
        <f t="shared" si="37"/>
        <v>29456.60666666667</v>
      </c>
      <c r="K623">
        <v>12</v>
      </c>
      <c r="L623" s="16">
        <f t="shared" si="38"/>
        <v>3534.7928000000002</v>
      </c>
      <c r="M623">
        <v>0</v>
      </c>
      <c r="N623" s="16">
        <f t="shared" si="39"/>
        <v>0</v>
      </c>
    </row>
    <row r="624" spans="1:14" x14ac:dyDescent="0.25">
      <c r="A624" s="29">
        <v>41</v>
      </c>
      <c r="B624" t="s">
        <v>28</v>
      </c>
      <c r="C624" s="1" t="s">
        <v>29</v>
      </c>
      <c r="D624" t="s">
        <v>1263</v>
      </c>
      <c r="E624" t="s">
        <v>569</v>
      </c>
      <c r="F624">
        <v>257.52</v>
      </c>
      <c r="G624">
        <v>120</v>
      </c>
      <c r="H624">
        <v>309.01</v>
      </c>
      <c r="I624" s="31">
        <f t="shared" si="40"/>
        <v>30593.39</v>
      </c>
      <c r="J624" s="16">
        <f t="shared" si="37"/>
        <v>28043.94083333333</v>
      </c>
      <c r="K624">
        <v>12</v>
      </c>
      <c r="L624" s="16">
        <f t="shared" si="38"/>
        <v>3365.2728999999999</v>
      </c>
      <c r="M624">
        <v>0</v>
      </c>
      <c r="N624" s="16">
        <f t="shared" si="39"/>
        <v>0</v>
      </c>
    </row>
    <row r="625" spans="1:14" x14ac:dyDescent="0.25">
      <c r="A625" s="29">
        <v>41</v>
      </c>
      <c r="B625" t="s">
        <v>28</v>
      </c>
      <c r="C625" s="1" t="s">
        <v>29</v>
      </c>
      <c r="D625" t="s">
        <v>1247</v>
      </c>
      <c r="E625" t="s">
        <v>569</v>
      </c>
      <c r="F625">
        <v>974.43</v>
      </c>
      <c r="G625">
        <v>250</v>
      </c>
      <c r="H625">
        <v>2436.04</v>
      </c>
      <c r="I625" s="31">
        <f t="shared" si="40"/>
        <v>241171.46</v>
      </c>
      <c r="J625" s="16">
        <f t="shared" si="37"/>
        <v>221073.83833333332</v>
      </c>
      <c r="K625">
        <v>12</v>
      </c>
      <c r="L625" s="16">
        <f t="shared" si="38"/>
        <v>26528.860599999996</v>
      </c>
      <c r="M625">
        <v>0</v>
      </c>
      <c r="N625" s="16">
        <f t="shared" si="39"/>
        <v>0</v>
      </c>
    </row>
    <row r="626" spans="1:14" x14ac:dyDescent="0.25">
      <c r="A626" s="29">
        <v>41</v>
      </c>
      <c r="B626" t="s">
        <v>28</v>
      </c>
      <c r="C626" s="1" t="s">
        <v>29</v>
      </c>
      <c r="D626" t="s">
        <v>1411</v>
      </c>
      <c r="E626" t="s">
        <v>569</v>
      </c>
      <c r="F626">
        <v>4612.54</v>
      </c>
      <c r="G626">
        <v>12</v>
      </c>
      <c r="H626">
        <v>553.15</v>
      </c>
      <c r="I626" s="31">
        <f t="shared" si="40"/>
        <v>54797.329999999994</v>
      </c>
      <c r="J626" s="16">
        <f t="shared" si="37"/>
        <v>50230.885833333326</v>
      </c>
      <c r="K626">
        <v>12</v>
      </c>
      <c r="L626" s="16">
        <f t="shared" si="38"/>
        <v>6027.7062999999989</v>
      </c>
      <c r="M626">
        <v>0</v>
      </c>
      <c r="N626" s="16">
        <f t="shared" si="39"/>
        <v>0</v>
      </c>
    </row>
    <row r="627" spans="1:14" x14ac:dyDescent="0.25">
      <c r="A627" s="29">
        <v>41</v>
      </c>
      <c r="B627" t="s">
        <v>28</v>
      </c>
      <c r="C627" s="1" t="s">
        <v>29</v>
      </c>
      <c r="D627" t="s">
        <v>1375</v>
      </c>
      <c r="E627" t="s">
        <v>569</v>
      </c>
      <c r="F627">
        <v>3752.74</v>
      </c>
      <c r="G627">
        <v>24</v>
      </c>
      <c r="H627">
        <v>900.9</v>
      </c>
      <c r="I627" s="31">
        <f t="shared" si="40"/>
        <v>89164.86</v>
      </c>
      <c r="J627" s="16">
        <f t="shared" si="37"/>
        <v>81734.455000000002</v>
      </c>
      <c r="K627">
        <v>12</v>
      </c>
      <c r="L627" s="16">
        <f t="shared" si="38"/>
        <v>9808.1345999999994</v>
      </c>
      <c r="M627">
        <v>0</v>
      </c>
      <c r="N627" s="16">
        <f t="shared" si="39"/>
        <v>0</v>
      </c>
    </row>
    <row r="628" spans="1:14" x14ac:dyDescent="0.25">
      <c r="A628" s="29">
        <v>41</v>
      </c>
      <c r="B628" t="s">
        <v>28</v>
      </c>
      <c r="C628" s="1" t="s">
        <v>29</v>
      </c>
      <c r="D628" t="s">
        <v>1282</v>
      </c>
      <c r="E628" t="s">
        <v>569</v>
      </c>
      <c r="F628">
        <v>1503.1</v>
      </c>
      <c r="G628">
        <v>36</v>
      </c>
      <c r="H628">
        <v>541.44000000000005</v>
      </c>
      <c r="I628" s="31">
        <f t="shared" si="40"/>
        <v>53570.159999999996</v>
      </c>
      <c r="J628" s="16">
        <f t="shared" si="37"/>
        <v>49105.979999999996</v>
      </c>
      <c r="K628">
        <v>12</v>
      </c>
      <c r="L628" s="16">
        <f t="shared" si="38"/>
        <v>5892.7175999999999</v>
      </c>
      <c r="M628">
        <v>0</v>
      </c>
      <c r="N628" s="16">
        <f t="shared" si="39"/>
        <v>0</v>
      </c>
    </row>
    <row r="629" spans="1:14" x14ac:dyDescent="0.25">
      <c r="A629" s="29">
        <v>41</v>
      </c>
      <c r="B629" t="s">
        <v>28</v>
      </c>
      <c r="C629" s="1" t="s">
        <v>29</v>
      </c>
      <c r="D629" t="s">
        <v>1255</v>
      </c>
      <c r="E629" t="s">
        <v>569</v>
      </c>
      <c r="F629">
        <v>3752.74</v>
      </c>
      <c r="G629">
        <v>24</v>
      </c>
      <c r="H629">
        <v>900.9</v>
      </c>
      <c r="I629" s="31">
        <f t="shared" si="40"/>
        <v>89164.86</v>
      </c>
      <c r="J629" s="16">
        <f t="shared" si="37"/>
        <v>81734.455000000002</v>
      </c>
      <c r="K629">
        <v>12</v>
      </c>
      <c r="L629" s="16">
        <f t="shared" si="38"/>
        <v>9808.1345999999994</v>
      </c>
      <c r="M629">
        <v>0</v>
      </c>
      <c r="N629" s="16">
        <f t="shared" si="39"/>
        <v>0</v>
      </c>
    </row>
    <row r="630" spans="1:14" x14ac:dyDescent="0.25">
      <c r="A630" s="29">
        <v>42</v>
      </c>
      <c r="B630" t="s">
        <v>28</v>
      </c>
      <c r="C630" s="1" t="s">
        <v>29</v>
      </c>
      <c r="D630" t="s">
        <v>1260</v>
      </c>
      <c r="E630" t="s">
        <v>569</v>
      </c>
      <c r="F630">
        <v>3752.7</v>
      </c>
      <c r="G630">
        <v>12</v>
      </c>
      <c r="H630">
        <v>0</v>
      </c>
      <c r="I630" s="31">
        <f t="shared" si="40"/>
        <v>45032.399999999994</v>
      </c>
      <c r="J630" s="16">
        <f t="shared" si="37"/>
        <v>41279.69999999999</v>
      </c>
      <c r="K630">
        <v>12</v>
      </c>
      <c r="L630" s="16">
        <f t="shared" si="38"/>
        <v>4953.5639999999994</v>
      </c>
      <c r="M630">
        <v>0</v>
      </c>
      <c r="N630" s="16">
        <f t="shared" si="39"/>
        <v>0</v>
      </c>
    </row>
    <row r="631" spans="1:14" x14ac:dyDescent="0.25">
      <c r="A631" s="29">
        <v>42</v>
      </c>
      <c r="B631" t="s">
        <v>28</v>
      </c>
      <c r="C631" s="1" t="s">
        <v>29</v>
      </c>
      <c r="D631" t="s">
        <v>1277</v>
      </c>
      <c r="E631" t="s">
        <v>569</v>
      </c>
      <c r="F631">
        <v>1503.08</v>
      </c>
      <c r="G631">
        <v>12</v>
      </c>
      <c r="H631">
        <v>0</v>
      </c>
      <c r="I631" s="31">
        <f t="shared" si="40"/>
        <v>18036.96</v>
      </c>
      <c r="J631" s="16">
        <f t="shared" si="37"/>
        <v>16533.879999999997</v>
      </c>
      <c r="K631">
        <v>12</v>
      </c>
      <c r="L631" s="16">
        <f t="shared" si="38"/>
        <v>1984.0655999999997</v>
      </c>
      <c r="M631">
        <v>0</v>
      </c>
      <c r="N631" s="16">
        <f t="shared" si="39"/>
        <v>0</v>
      </c>
    </row>
    <row r="632" spans="1:14" x14ac:dyDescent="0.25">
      <c r="A632" s="29">
        <v>42</v>
      </c>
      <c r="B632" t="s">
        <v>28</v>
      </c>
      <c r="C632" s="1" t="s">
        <v>29</v>
      </c>
      <c r="D632" t="s">
        <v>1212</v>
      </c>
      <c r="E632" t="s">
        <v>569</v>
      </c>
      <c r="F632">
        <v>1503.08</v>
      </c>
      <c r="G632">
        <v>12</v>
      </c>
      <c r="H632">
        <v>0</v>
      </c>
      <c r="I632" s="31">
        <f t="shared" si="40"/>
        <v>18036.96</v>
      </c>
      <c r="J632" s="16">
        <f t="shared" si="37"/>
        <v>16533.879999999997</v>
      </c>
      <c r="K632">
        <v>12</v>
      </c>
      <c r="L632" s="16">
        <f t="shared" si="38"/>
        <v>1984.0655999999997</v>
      </c>
      <c r="M632">
        <v>0</v>
      </c>
      <c r="N632" s="16">
        <f t="shared" si="39"/>
        <v>0</v>
      </c>
    </row>
    <row r="633" spans="1:14" x14ac:dyDescent="0.25">
      <c r="A633" s="29">
        <v>42</v>
      </c>
      <c r="B633" t="s">
        <v>28</v>
      </c>
      <c r="C633" s="1" t="s">
        <v>29</v>
      </c>
      <c r="D633" t="s">
        <v>1279</v>
      </c>
      <c r="E633" t="s">
        <v>569</v>
      </c>
      <c r="F633">
        <v>1503.08</v>
      </c>
      <c r="G633">
        <v>12</v>
      </c>
      <c r="H633">
        <v>0</v>
      </c>
      <c r="I633" s="31">
        <f t="shared" si="40"/>
        <v>18036.96</v>
      </c>
      <c r="J633" s="16">
        <f t="shared" ref="J633:J696" si="41">11/12*I633</f>
        <v>16533.879999999997</v>
      </c>
      <c r="K633">
        <v>12</v>
      </c>
      <c r="L633" s="16">
        <f t="shared" ref="L633:L696" si="42">J633*K633/100</f>
        <v>1984.0655999999997</v>
      </c>
      <c r="M633">
        <v>0</v>
      </c>
      <c r="N633" s="16">
        <f t="shared" ref="N633:N696" si="43">M633*J633/100</f>
        <v>0</v>
      </c>
    </row>
    <row r="634" spans="1:14" x14ac:dyDescent="0.25">
      <c r="A634" s="29">
        <v>42</v>
      </c>
      <c r="B634" t="s">
        <v>28</v>
      </c>
      <c r="C634" s="1" t="s">
        <v>29</v>
      </c>
      <c r="D634" t="s">
        <v>1214</v>
      </c>
      <c r="E634" t="s">
        <v>569</v>
      </c>
      <c r="F634">
        <v>2190.17</v>
      </c>
      <c r="G634">
        <v>36</v>
      </c>
      <c r="H634">
        <v>0</v>
      </c>
      <c r="I634" s="31">
        <f t="shared" si="40"/>
        <v>78846.12</v>
      </c>
      <c r="J634" s="16">
        <f t="shared" si="41"/>
        <v>72275.609999999986</v>
      </c>
      <c r="K634">
        <v>12</v>
      </c>
      <c r="L634" s="16">
        <f t="shared" si="42"/>
        <v>8673.0731999999989</v>
      </c>
      <c r="M634">
        <v>0</v>
      </c>
      <c r="N634" s="16">
        <f t="shared" si="43"/>
        <v>0</v>
      </c>
    </row>
    <row r="635" spans="1:14" x14ac:dyDescent="0.25">
      <c r="A635" s="29">
        <v>42</v>
      </c>
      <c r="B635" t="s">
        <v>28</v>
      </c>
      <c r="C635" s="1" t="s">
        <v>29</v>
      </c>
      <c r="D635" t="s">
        <v>1282</v>
      </c>
      <c r="E635" t="s">
        <v>569</v>
      </c>
      <c r="F635">
        <v>1503.11</v>
      </c>
      <c r="G635">
        <v>60</v>
      </c>
      <c r="H635">
        <v>0</v>
      </c>
      <c r="I635" s="31">
        <f t="shared" si="40"/>
        <v>90186.599999999991</v>
      </c>
      <c r="J635" s="16">
        <f t="shared" si="41"/>
        <v>82671.049999999988</v>
      </c>
      <c r="K635">
        <v>12</v>
      </c>
      <c r="L635" s="16">
        <f t="shared" si="42"/>
        <v>9920.525999999998</v>
      </c>
      <c r="M635">
        <v>0</v>
      </c>
      <c r="N635" s="16">
        <f t="shared" si="43"/>
        <v>0</v>
      </c>
    </row>
    <row r="636" spans="1:14" x14ac:dyDescent="0.25">
      <c r="A636" s="29">
        <v>42</v>
      </c>
      <c r="B636" t="s">
        <v>28</v>
      </c>
      <c r="C636" s="1" t="s">
        <v>29</v>
      </c>
      <c r="D636" t="s">
        <v>1255</v>
      </c>
      <c r="E636" t="s">
        <v>569</v>
      </c>
      <c r="F636">
        <v>3752.7</v>
      </c>
      <c r="G636">
        <v>12</v>
      </c>
      <c r="H636">
        <v>0</v>
      </c>
      <c r="I636" s="31">
        <f t="shared" si="40"/>
        <v>45032.399999999994</v>
      </c>
      <c r="J636" s="16">
        <f t="shared" si="41"/>
        <v>41279.69999999999</v>
      </c>
      <c r="K636">
        <v>12</v>
      </c>
      <c r="L636" s="16">
        <f t="shared" si="42"/>
        <v>4953.5639999999994</v>
      </c>
      <c r="M636">
        <v>0</v>
      </c>
      <c r="N636" s="16">
        <f t="shared" si="43"/>
        <v>0</v>
      </c>
    </row>
    <row r="637" spans="1:14" x14ac:dyDescent="0.25">
      <c r="A637" s="29">
        <v>42</v>
      </c>
      <c r="B637" t="s">
        <v>28</v>
      </c>
      <c r="C637" s="1" t="s">
        <v>29</v>
      </c>
      <c r="D637" t="s">
        <v>1231</v>
      </c>
      <c r="E637" t="s">
        <v>569</v>
      </c>
      <c r="F637">
        <v>1503.1</v>
      </c>
      <c r="G637">
        <v>36</v>
      </c>
      <c r="H637">
        <v>0</v>
      </c>
      <c r="I637" s="31">
        <f t="shared" si="40"/>
        <v>54111.6</v>
      </c>
      <c r="J637" s="16">
        <f t="shared" si="41"/>
        <v>49602.299999999996</v>
      </c>
      <c r="K637">
        <v>12</v>
      </c>
      <c r="L637" s="16">
        <f t="shared" si="42"/>
        <v>5952.2759999999998</v>
      </c>
      <c r="M637">
        <v>0</v>
      </c>
      <c r="N637" s="16">
        <f t="shared" si="43"/>
        <v>0</v>
      </c>
    </row>
    <row r="638" spans="1:14" x14ac:dyDescent="0.25">
      <c r="A638" s="29">
        <v>43</v>
      </c>
      <c r="B638" t="s">
        <v>28</v>
      </c>
      <c r="C638" s="1" t="s">
        <v>29</v>
      </c>
      <c r="D638" t="s">
        <v>1235</v>
      </c>
      <c r="E638" t="s">
        <v>569</v>
      </c>
      <c r="F638">
        <v>3752.73</v>
      </c>
      <c r="G638">
        <v>144</v>
      </c>
      <c r="H638">
        <v>16211.71</v>
      </c>
      <c r="I638" s="31">
        <f t="shared" si="40"/>
        <v>524181.41</v>
      </c>
      <c r="J638" s="16">
        <f t="shared" si="41"/>
        <v>480499.6258333333</v>
      </c>
      <c r="K638">
        <v>12</v>
      </c>
      <c r="L638" s="16">
        <f t="shared" si="42"/>
        <v>57659.955099999999</v>
      </c>
      <c r="M638">
        <v>0</v>
      </c>
      <c r="N638" s="16">
        <f t="shared" si="43"/>
        <v>0</v>
      </c>
    </row>
    <row r="639" spans="1:14" x14ac:dyDescent="0.25">
      <c r="A639" s="29">
        <v>43</v>
      </c>
      <c r="B639" t="s">
        <v>28</v>
      </c>
      <c r="C639" s="1" t="s">
        <v>29</v>
      </c>
      <c r="D639" t="s">
        <v>1258</v>
      </c>
      <c r="E639" t="s">
        <v>569</v>
      </c>
      <c r="F639">
        <v>3752.73</v>
      </c>
      <c r="G639">
        <v>144</v>
      </c>
      <c r="H639">
        <v>16211.71</v>
      </c>
      <c r="I639" s="31">
        <f t="shared" si="40"/>
        <v>524181.41</v>
      </c>
      <c r="J639" s="16">
        <f t="shared" si="41"/>
        <v>480499.6258333333</v>
      </c>
      <c r="K639">
        <v>12</v>
      </c>
      <c r="L639" s="16">
        <f t="shared" si="42"/>
        <v>57659.955099999999</v>
      </c>
      <c r="M639">
        <v>0</v>
      </c>
      <c r="N639" s="16">
        <f t="shared" si="43"/>
        <v>0</v>
      </c>
    </row>
    <row r="640" spans="1:14" x14ac:dyDescent="0.25">
      <c r="A640" s="29">
        <v>43</v>
      </c>
      <c r="B640" t="s">
        <v>28</v>
      </c>
      <c r="C640" s="1" t="s">
        <v>29</v>
      </c>
      <c r="D640" t="s">
        <v>1277</v>
      </c>
      <c r="E640" t="s">
        <v>569</v>
      </c>
      <c r="F640">
        <v>1503.11</v>
      </c>
      <c r="G640">
        <v>144</v>
      </c>
      <c r="H640">
        <v>6493.69</v>
      </c>
      <c r="I640" s="31">
        <f t="shared" si="40"/>
        <v>209954.15</v>
      </c>
      <c r="J640" s="16">
        <f t="shared" si="41"/>
        <v>192457.97083333333</v>
      </c>
      <c r="K640">
        <v>12</v>
      </c>
      <c r="L640" s="16">
        <f t="shared" si="42"/>
        <v>23094.9565</v>
      </c>
      <c r="M640">
        <v>0</v>
      </c>
      <c r="N640" s="16">
        <f t="shared" si="43"/>
        <v>0</v>
      </c>
    </row>
    <row r="641" spans="1:14" x14ac:dyDescent="0.25">
      <c r="A641" s="29">
        <v>43</v>
      </c>
      <c r="B641" t="s">
        <v>28</v>
      </c>
      <c r="C641" s="1" t="s">
        <v>29</v>
      </c>
      <c r="D641" t="s">
        <v>1278</v>
      </c>
      <c r="E641" t="s">
        <v>569</v>
      </c>
      <c r="F641">
        <v>1503.11</v>
      </c>
      <c r="G641">
        <v>144</v>
      </c>
      <c r="H641">
        <v>6493.69</v>
      </c>
      <c r="I641" s="31">
        <f t="shared" si="40"/>
        <v>209954.15</v>
      </c>
      <c r="J641" s="16">
        <f t="shared" si="41"/>
        <v>192457.97083333333</v>
      </c>
      <c r="K641">
        <v>12</v>
      </c>
      <c r="L641" s="16">
        <f t="shared" si="42"/>
        <v>23094.9565</v>
      </c>
      <c r="M641">
        <v>0</v>
      </c>
      <c r="N641" s="16">
        <f t="shared" si="43"/>
        <v>0</v>
      </c>
    </row>
    <row r="642" spans="1:14" x14ac:dyDescent="0.25">
      <c r="A642" s="29">
        <v>43</v>
      </c>
      <c r="B642" t="s">
        <v>28</v>
      </c>
      <c r="C642" s="1" t="s">
        <v>29</v>
      </c>
      <c r="D642" t="s">
        <v>1212</v>
      </c>
      <c r="E642" t="s">
        <v>569</v>
      </c>
      <c r="F642">
        <v>1503.11</v>
      </c>
      <c r="G642">
        <v>144</v>
      </c>
      <c r="H642">
        <v>6493.69</v>
      </c>
      <c r="I642" s="31">
        <f t="shared" si="40"/>
        <v>209954.15</v>
      </c>
      <c r="J642" s="16">
        <f t="shared" si="41"/>
        <v>192457.97083333333</v>
      </c>
      <c r="K642">
        <v>12</v>
      </c>
      <c r="L642" s="16">
        <f t="shared" si="42"/>
        <v>23094.9565</v>
      </c>
      <c r="M642">
        <v>0</v>
      </c>
      <c r="N642" s="16">
        <f t="shared" si="43"/>
        <v>0</v>
      </c>
    </row>
    <row r="643" spans="1:14" x14ac:dyDescent="0.25">
      <c r="A643" s="29">
        <v>43</v>
      </c>
      <c r="B643" t="s">
        <v>28</v>
      </c>
      <c r="C643" s="1" t="s">
        <v>29</v>
      </c>
      <c r="D643" t="s">
        <v>1279</v>
      </c>
      <c r="E643" t="s">
        <v>569</v>
      </c>
      <c r="F643">
        <v>1503.11</v>
      </c>
      <c r="G643">
        <v>144</v>
      </c>
      <c r="H643">
        <v>6493.69</v>
      </c>
      <c r="I643" s="31">
        <f t="shared" ref="I643:I706" si="44">G643*F643-H643</f>
        <v>209954.15</v>
      </c>
      <c r="J643" s="16">
        <f t="shared" si="41"/>
        <v>192457.97083333333</v>
      </c>
      <c r="K643">
        <v>12</v>
      </c>
      <c r="L643" s="16">
        <f t="shared" si="42"/>
        <v>23094.9565</v>
      </c>
      <c r="M643">
        <v>0</v>
      </c>
      <c r="N643" s="16">
        <f t="shared" si="43"/>
        <v>0</v>
      </c>
    </row>
    <row r="644" spans="1:14" x14ac:dyDescent="0.25">
      <c r="A644" s="29">
        <v>43</v>
      </c>
      <c r="B644" t="s">
        <v>28</v>
      </c>
      <c r="C644" s="1" t="s">
        <v>29</v>
      </c>
      <c r="D644" t="s">
        <v>1213</v>
      </c>
      <c r="E644" t="s">
        <v>569</v>
      </c>
      <c r="F644">
        <v>1503.11</v>
      </c>
      <c r="G644">
        <v>144</v>
      </c>
      <c r="H644">
        <v>6493.69</v>
      </c>
      <c r="I644" s="31">
        <f t="shared" si="44"/>
        <v>209954.15</v>
      </c>
      <c r="J644" s="16">
        <f t="shared" si="41"/>
        <v>192457.97083333333</v>
      </c>
      <c r="K644">
        <v>12</v>
      </c>
      <c r="L644" s="16">
        <f t="shared" si="42"/>
        <v>23094.9565</v>
      </c>
      <c r="M644">
        <v>0</v>
      </c>
      <c r="N644" s="16">
        <f t="shared" si="43"/>
        <v>0</v>
      </c>
    </row>
    <row r="645" spans="1:14" x14ac:dyDescent="0.25">
      <c r="A645" s="29">
        <v>43</v>
      </c>
      <c r="B645" t="s">
        <v>28</v>
      </c>
      <c r="C645" s="1" t="s">
        <v>29</v>
      </c>
      <c r="D645" t="s">
        <v>1280</v>
      </c>
      <c r="E645" t="s">
        <v>569</v>
      </c>
      <c r="F645">
        <v>1503.11</v>
      </c>
      <c r="G645">
        <v>144</v>
      </c>
      <c r="H645">
        <v>6493.69</v>
      </c>
      <c r="I645" s="31">
        <f t="shared" si="44"/>
        <v>209954.15</v>
      </c>
      <c r="J645" s="16">
        <f t="shared" si="41"/>
        <v>192457.97083333333</v>
      </c>
      <c r="K645">
        <v>12</v>
      </c>
      <c r="L645" s="16">
        <f t="shared" si="42"/>
        <v>23094.9565</v>
      </c>
      <c r="M645">
        <v>0</v>
      </c>
      <c r="N645" s="16">
        <f t="shared" si="43"/>
        <v>0</v>
      </c>
    </row>
    <row r="646" spans="1:14" x14ac:dyDescent="0.25">
      <c r="A646" s="29">
        <v>43</v>
      </c>
      <c r="B646" t="s">
        <v>28</v>
      </c>
      <c r="C646" s="1" t="s">
        <v>29</v>
      </c>
      <c r="D646" t="s">
        <v>1214</v>
      </c>
      <c r="E646" t="s">
        <v>569</v>
      </c>
      <c r="F646">
        <v>2190.17</v>
      </c>
      <c r="G646">
        <v>288</v>
      </c>
      <c r="H646">
        <v>18923.419999999998</v>
      </c>
      <c r="I646" s="31">
        <f t="shared" si="44"/>
        <v>611845.53999999992</v>
      </c>
      <c r="J646" s="16">
        <f t="shared" si="41"/>
        <v>560858.41166666662</v>
      </c>
      <c r="K646">
        <v>12</v>
      </c>
      <c r="L646" s="16">
        <f t="shared" si="42"/>
        <v>67303.009399999995</v>
      </c>
      <c r="M646">
        <v>0</v>
      </c>
      <c r="N646" s="16">
        <f t="shared" si="43"/>
        <v>0</v>
      </c>
    </row>
    <row r="647" spans="1:14" x14ac:dyDescent="0.25">
      <c r="A647" s="29">
        <v>43</v>
      </c>
      <c r="B647" t="s">
        <v>28</v>
      </c>
      <c r="C647" s="1" t="s">
        <v>29</v>
      </c>
      <c r="D647" t="s">
        <v>1281</v>
      </c>
      <c r="E647" t="s">
        <v>569</v>
      </c>
      <c r="F647">
        <v>1503.11</v>
      </c>
      <c r="G647">
        <v>144</v>
      </c>
      <c r="H647">
        <v>6493.69</v>
      </c>
      <c r="I647" s="31">
        <f t="shared" si="44"/>
        <v>209954.15</v>
      </c>
      <c r="J647" s="16">
        <f t="shared" si="41"/>
        <v>192457.97083333333</v>
      </c>
      <c r="K647">
        <v>12</v>
      </c>
      <c r="L647" s="16">
        <f t="shared" si="42"/>
        <v>23094.9565</v>
      </c>
      <c r="M647">
        <v>0</v>
      </c>
      <c r="N647" s="16">
        <f t="shared" si="43"/>
        <v>0</v>
      </c>
    </row>
    <row r="648" spans="1:14" x14ac:dyDescent="0.25">
      <c r="A648" s="29">
        <v>43</v>
      </c>
      <c r="B648" t="s">
        <v>28</v>
      </c>
      <c r="C648" s="1" t="s">
        <v>29</v>
      </c>
      <c r="D648" t="s">
        <v>1215</v>
      </c>
      <c r="E648" t="s">
        <v>569</v>
      </c>
      <c r="F648">
        <v>1503.11</v>
      </c>
      <c r="G648">
        <v>144</v>
      </c>
      <c r="H648">
        <v>6493.69</v>
      </c>
      <c r="I648" s="31">
        <f t="shared" si="44"/>
        <v>209954.15</v>
      </c>
      <c r="J648" s="16">
        <f t="shared" si="41"/>
        <v>192457.97083333333</v>
      </c>
      <c r="K648">
        <v>12</v>
      </c>
      <c r="L648" s="16">
        <f t="shared" si="42"/>
        <v>23094.9565</v>
      </c>
      <c r="M648">
        <v>0</v>
      </c>
      <c r="N648" s="16">
        <f t="shared" si="43"/>
        <v>0</v>
      </c>
    </row>
    <row r="649" spans="1:14" x14ac:dyDescent="0.25">
      <c r="A649" s="29">
        <v>43</v>
      </c>
      <c r="B649" t="s">
        <v>28</v>
      </c>
      <c r="C649" s="1" t="s">
        <v>29</v>
      </c>
      <c r="D649" t="s">
        <v>1314</v>
      </c>
      <c r="E649" t="s">
        <v>569</v>
      </c>
      <c r="F649">
        <v>956.17</v>
      </c>
      <c r="G649">
        <v>250</v>
      </c>
      <c r="H649">
        <v>7171.17</v>
      </c>
      <c r="I649" s="31">
        <f t="shared" si="44"/>
        <v>231871.33</v>
      </c>
      <c r="J649" s="16">
        <f t="shared" si="41"/>
        <v>212548.71916666665</v>
      </c>
      <c r="K649">
        <v>12</v>
      </c>
      <c r="L649" s="16">
        <f t="shared" si="42"/>
        <v>25505.846299999997</v>
      </c>
      <c r="M649">
        <v>0</v>
      </c>
      <c r="N649" s="16">
        <f t="shared" si="43"/>
        <v>0</v>
      </c>
    </row>
    <row r="650" spans="1:14" x14ac:dyDescent="0.25">
      <c r="A650" s="29">
        <v>43</v>
      </c>
      <c r="B650" t="s">
        <v>28</v>
      </c>
      <c r="C650" s="1" t="s">
        <v>29</v>
      </c>
      <c r="D650" t="s">
        <v>1239</v>
      </c>
      <c r="E650" t="s">
        <v>569</v>
      </c>
      <c r="F650">
        <v>956.17</v>
      </c>
      <c r="G650">
        <v>2500</v>
      </c>
      <c r="H650">
        <v>71712.61</v>
      </c>
      <c r="I650" s="31">
        <f t="shared" si="44"/>
        <v>2318712.39</v>
      </c>
      <c r="J650" s="16">
        <f t="shared" si="41"/>
        <v>2125486.3574999999</v>
      </c>
      <c r="K650">
        <v>12</v>
      </c>
      <c r="L650" s="16">
        <f t="shared" si="42"/>
        <v>255058.36289999998</v>
      </c>
      <c r="M650">
        <v>0</v>
      </c>
      <c r="N650" s="16">
        <f t="shared" si="43"/>
        <v>0</v>
      </c>
    </row>
    <row r="651" spans="1:14" x14ac:dyDescent="0.25">
      <c r="A651" s="29">
        <v>43</v>
      </c>
      <c r="B651" t="s">
        <v>28</v>
      </c>
      <c r="C651" s="1" t="s">
        <v>29</v>
      </c>
      <c r="D651" t="s">
        <v>1240</v>
      </c>
      <c r="E651" t="s">
        <v>569</v>
      </c>
      <c r="F651">
        <v>956.17</v>
      </c>
      <c r="G651">
        <v>250</v>
      </c>
      <c r="H651">
        <v>7171.17</v>
      </c>
      <c r="I651" s="31">
        <f t="shared" si="44"/>
        <v>231871.33</v>
      </c>
      <c r="J651" s="16">
        <f t="shared" si="41"/>
        <v>212548.71916666665</v>
      </c>
      <c r="K651">
        <v>12</v>
      </c>
      <c r="L651" s="16">
        <f t="shared" si="42"/>
        <v>25505.846299999997</v>
      </c>
      <c r="M651">
        <v>0</v>
      </c>
      <c r="N651" s="16">
        <f t="shared" si="43"/>
        <v>0</v>
      </c>
    </row>
    <row r="652" spans="1:14" x14ac:dyDescent="0.25">
      <c r="A652" s="29">
        <v>43</v>
      </c>
      <c r="B652" t="s">
        <v>28</v>
      </c>
      <c r="C652" s="1" t="s">
        <v>29</v>
      </c>
      <c r="D652" t="s">
        <v>1342</v>
      </c>
      <c r="E652" t="s">
        <v>569</v>
      </c>
      <c r="F652">
        <v>956.17</v>
      </c>
      <c r="G652">
        <v>150</v>
      </c>
      <c r="H652">
        <v>4302.7</v>
      </c>
      <c r="I652" s="31">
        <f t="shared" si="44"/>
        <v>139122.79999999999</v>
      </c>
      <c r="J652" s="16">
        <f t="shared" si="41"/>
        <v>127529.23333333332</v>
      </c>
      <c r="K652">
        <v>12</v>
      </c>
      <c r="L652" s="16">
        <f t="shared" si="42"/>
        <v>15303.507999999998</v>
      </c>
      <c r="M652">
        <v>0</v>
      </c>
      <c r="N652" s="16">
        <f t="shared" si="43"/>
        <v>0</v>
      </c>
    </row>
    <row r="653" spans="1:14" x14ac:dyDescent="0.25">
      <c r="A653" s="29">
        <v>43</v>
      </c>
      <c r="B653" t="s">
        <v>28</v>
      </c>
      <c r="C653" s="1" t="s">
        <v>29</v>
      </c>
      <c r="D653" t="s">
        <v>1315</v>
      </c>
      <c r="E653" t="s">
        <v>569</v>
      </c>
      <c r="F653">
        <v>956.17</v>
      </c>
      <c r="G653">
        <v>250</v>
      </c>
      <c r="H653">
        <v>7171.17</v>
      </c>
      <c r="I653" s="31">
        <f t="shared" si="44"/>
        <v>231871.33</v>
      </c>
      <c r="J653" s="16">
        <f t="shared" si="41"/>
        <v>212548.71916666665</v>
      </c>
      <c r="K653">
        <v>12</v>
      </c>
      <c r="L653" s="16">
        <f t="shared" si="42"/>
        <v>25505.846299999997</v>
      </c>
      <c r="M653">
        <v>0</v>
      </c>
      <c r="N653" s="16">
        <f t="shared" si="43"/>
        <v>0</v>
      </c>
    </row>
    <row r="654" spans="1:14" x14ac:dyDescent="0.25">
      <c r="A654" s="29">
        <v>43</v>
      </c>
      <c r="B654" t="s">
        <v>28</v>
      </c>
      <c r="C654" s="1" t="s">
        <v>29</v>
      </c>
      <c r="D654" t="s">
        <v>1243</v>
      </c>
      <c r="E654" t="s">
        <v>569</v>
      </c>
      <c r="F654">
        <v>956.17</v>
      </c>
      <c r="G654">
        <v>250</v>
      </c>
      <c r="H654">
        <v>7171.17</v>
      </c>
      <c r="I654" s="31">
        <f t="shared" si="44"/>
        <v>231871.33</v>
      </c>
      <c r="J654" s="16">
        <f t="shared" si="41"/>
        <v>212548.71916666665</v>
      </c>
      <c r="K654">
        <v>12</v>
      </c>
      <c r="L654" s="16">
        <f t="shared" si="42"/>
        <v>25505.846299999997</v>
      </c>
      <c r="M654">
        <v>0</v>
      </c>
      <c r="N654" s="16">
        <f t="shared" si="43"/>
        <v>0</v>
      </c>
    </row>
    <row r="655" spans="1:14" x14ac:dyDescent="0.25">
      <c r="A655" s="29">
        <v>43</v>
      </c>
      <c r="B655" t="s">
        <v>28</v>
      </c>
      <c r="C655" s="1" t="s">
        <v>29</v>
      </c>
      <c r="D655" t="s">
        <v>1244</v>
      </c>
      <c r="E655" t="s">
        <v>569</v>
      </c>
      <c r="F655">
        <v>956.17</v>
      </c>
      <c r="G655">
        <v>1250</v>
      </c>
      <c r="H655">
        <v>35856.76</v>
      </c>
      <c r="I655" s="31">
        <f t="shared" si="44"/>
        <v>1159355.74</v>
      </c>
      <c r="J655" s="16">
        <f t="shared" si="41"/>
        <v>1062742.7616666667</v>
      </c>
      <c r="K655">
        <v>12</v>
      </c>
      <c r="L655" s="16">
        <f t="shared" si="42"/>
        <v>127529.13140000001</v>
      </c>
      <c r="M655">
        <v>0</v>
      </c>
      <c r="N655" s="16">
        <f t="shared" si="43"/>
        <v>0</v>
      </c>
    </row>
    <row r="656" spans="1:14" x14ac:dyDescent="0.25">
      <c r="A656" s="29">
        <v>43</v>
      </c>
      <c r="B656" t="s">
        <v>28</v>
      </c>
      <c r="C656" s="1" t="s">
        <v>29</v>
      </c>
      <c r="D656" t="s">
        <v>1245</v>
      </c>
      <c r="E656" t="s">
        <v>569</v>
      </c>
      <c r="F656">
        <v>956.17</v>
      </c>
      <c r="G656">
        <v>250</v>
      </c>
      <c r="H656">
        <v>7171.17</v>
      </c>
      <c r="I656" s="31">
        <f t="shared" si="44"/>
        <v>231871.33</v>
      </c>
      <c r="J656" s="16">
        <f t="shared" si="41"/>
        <v>212548.71916666665</v>
      </c>
      <c r="K656">
        <v>12</v>
      </c>
      <c r="L656" s="16">
        <f t="shared" si="42"/>
        <v>25505.846299999997</v>
      </c>
      <c r="M656">
        <v>0</v>
      </c>
      <c r="N656" s="16">
        <f t="shared" si="43"/>
        <v>0</v>
      </c>
    </row>
    <row r="657" spans="1:14" x14ac:dyDescent="0.25">
      <c r="A657" s="29">
        <v>43</v>
      </c>
      <c r="B657" t="s">
        <v>28</v>
      </c>
      <c r="C657" s="1" t="s">
        <v>29</v>
      </c>
      <c r="D657" t="s">
        <v>1246</v>
      </c>
      <c r="E657" t="s">
        <v>569</v>
      </c>
      <c r="F657">
        <v>956.17</v>
      </c>
      <c r="G657">
        <v>150</v>
      </c>
      <c r="H657">
        <v>4302.7</v>
      </c>
      <c r="I657" s="31">
        <f t="shared" si="44"/>
        <v>139122.79999999999</v>
      </c>
      <c r="J657" s="16">
        <f t="shared" si="41"/>
        <v>127529.23333333332</v>
      </c>
      <c r="K657">
        <v>12</v>
      </c>
      <c r="L657" s="16">
        <f t="shared" si="42"/>
        <v>15303.507999999998</v>
      </c>
      <c r="M657">
        <v>0</v>
      </c>
      <c r="N657" s="16">
        <f t="shared" si="43"/>
        <v>0</v>
      </c>
    </row>
    <row r="658" spans="1:14" x14ac:dyDescent="0.25">
      <c r="A658" s="29">
        <v>43</v>
      </c>
      <c r="B658" t="s">
        <v>28</v>
      </c>
      <c r="C658" s="1" t="s">
        <v>29</v>
      </c>
      <c r="D658" t="s">
        <v>1379</v>
      </c>
      <c r="E658" t="s">
        <v>569</v>
      </c>
      <c r="F658">
        <v>257.52</v>
      </c>
      <c r="G658">
        <v>1440</v>
      </c>
      <c r="H658">
        <v>11127.03</v>
      </c>
      <c r="I658" s="31">
        <f t="shared" si="44"/>
        <v>359701.76999999996</v>
      </c>
      <c r="J658" s="16">
        <f t="shared" si="41"/>
        <v>329726.62249999994</v>
      </c>
      <c r="K658">
        <v>12</v>
      </c>
      <c r="L658" s="16">
        <f t="shared" si="42"/>
        <v>39567.194699999993</v>
      </c>
      <c r="M658">
        <v>0</v>
      </c>
      <c r="N658" s="16">
        <f t="shared" si="43"/>
        <v>0</v>
      </c>
    </row>
    <row r="659" spans="1:14" x14ac:dyDescent="0.25">
      <c r="A659" s="29">
        <v>43</v>
      </c>
      <c r="B659" t="s">
        <v>28</v>
      </c>
      <c r="C659" s="1" t="s">
        <v>29</v>
      </c>
      <c r="D659" t="s">
        <v>1263</v>
      </c>
      <c r="E659" t="s">
        <v>569</v>
      </c>
      <c r="F659">
        <v>257.52</v>
      </c>
      <c r="G659">
        <v>720</v>
      </c>
      <c r="H659">
        <v>5562.16</v>
      </c>
      <c r="I659" s="31">
        <f t="shared" si="44"/>
        <v>179852.24</v>
      </c>
      <c r="J659" s="16">
        <f t="shared" si="41"/>
        <v>164864.55333333332</v>
      </c>
      <c r="K659">
        <v>12</v>
      </c>
      <c r="L659" s="16">
        <f t="shared" si="42"/>
        <v>19783.746399999996</v>
      </c>
      <c r="M659">
        <v>0</v>
      </c>
      <c r="N659" s="16">
        <f t="shared" si="43"/>
        <v>0</v>
      </c>
    </row>
    <row r="660" spans="1:14" x14ac:dyDescent="0.25">
      <c r="A660" s="29">
        <v>43</v>
      </c>
      <c r="B660" t="s">
        <v>28</v>
      </c>
      <c r="C660" s="1" t="s">
        <v>29</v>
      </c>
      <c r="D660" t="s">
        <v>1266</v>
      </c>
      <c r="E660" t="s">
        <v>569</v>
      </c>
      <c r="F660">
        <v>257.52</v>
      </c>
      <c r="G660">
        <v>720</v>
      </c>
      <c r="H660">
        <v>5562.16</v>
      </c>
      <c r="I660" s="31">
        <f t="shared" si="44"/>
        <v>179852.24</v>
      </c>
      <c r="J660" s="16">
        <f t="shared" si="41"/>
        <v>164864.55333333332</v>
      </c>
      <c r="K660">
        <v>12</v>
      </c>
      <c r="L660" s="16">
        <f t="shared" si="42"/>
        <v>19783.746399999996</v>
      </c>
      <c r="M660">
        <v>0</v>
      </c>
      <c r="N660" s="16">
        <f t="shared" si="43"/>
        <v>0</v>
      </c>
    </row>
    <row r="661" spans="1:14" x14ac:dyDescent="0.25">
      <c r="A661" s="29">
        <v>43</v>
      </c>
      <c r="B661" t="s">
        <v>28</v>
      </c>
      <c r="C661" s="1" t="s">
        <v>29</v>
      </c>
      <c r="D661" t="s">
        <v>1282</v>
      </c>
      <c r="E661" t="s">
        <v>569</v>
      </c>
      <c r="F661">
        <v>1503.11</v>
      </c>
      <c r="G661">
        <v>288</v>
      </c>
      <c r="H661">
        <v>12986.49</v>
      </c>
      <c r="I661" s="31">
        <f t="shared" si="44"/>
        <v>419909.19</v>
      </c>
      <c r="J661" s="16">
        <f t="shared" si="41"/>
        <v>384916.75750000001</v>
      </c>
      <c r="K661">
        <v>12</v>
      </c>
      <c r="L661" s="16">
        <f t="shared" si="42"/>
        <v>46190.010900000001</v>
      </c>
      <c r="M661">
        <v>0</v>
      </c>
      <c r="N661" s="16">
        <f t="shared" si="43"/>
        <v>0</v>
      </c>
    </row>
    <row r="662" spans="1:14" x14ac:dyDescent="0.25">
      <c r="A662" s="29">
        <v>43</v>
      </c>
      <c r="B662" t="s">
        <v>28</v>
      </c>
      <c r="C662" s="1" t="s">
        <v>29</v>
      </c>
      <c r="D662" t="s">
        <v>1348</v>
      </c>
      <c r="E662" t="s">
        <v>569</v>
      </c>
      <c r="F662">
        <v>956.17</v>
      </c>
      <c r="G662">
        <v>150</v>
      </c>
      <c r="H662">
        <v>4302.7</v>
      </c>
      <c r="I662" s="31">
        <f t="shared" si="44"/>
        <v>139122.79999999999</v>
      </c>
      <c r="J662" s="16">
        <f t="shared" si="41"/>
        <v>127529.23333333332</v>
      </c>
      <c r="K662">
        <v>12</v>
      </c>
      <c r="L662" s="16">
        <f t="shared" si="42"/>
        <v>15303.507999999998</v>
      </c>
      <c r="M662">
        <v>0</v>
      </c>
      <c r="N662" s="16">
        <f t="shared" si="43"/>
        <v>0</v>
      </c>
    </row>
    <row r="663" spans="1:14" x14ac:dyDescent="0.25">
      <c r="A663" s="29">
        <v>43</v>
      </c>
      <c r="B663" t="s">
        <v>28</v>
      </c>
      <c r="C663" s="1" t="s">
        <v>29</v>
      </c>
      <c r="D663" t="s">
        <v>1250</v>
      </c>
      <c r="E663" t="s">
        <v>569</v>
      </c>
      <c r="F663">
        <v>956.17</v>
      </c>
      <c r="G663">
        <v>150</v>
      </c>
      <c r="H663">
        <v>4302.7</v>
      </c>
      <c r="I663" s="31">
        <f t="shared" si="44"/>
        <v>139122.79999999999</v>
      </c>
      <c r="J663" s="16">
        <f t="shared" si="41"/>
        <v>127529.23333333332</v>
      </c>
      <c r="K663">
        <v>12</v>
      </c>
      <c r="L663" s="16">
        <f t="shared" si="42"/>
        <v>15303.507999999998</v>
      </c>
      <c r="M663">
        <v>0</v>
      </c>
      <c r="N663" s="16">
        <f t="shared" si="43"/>
        <v>0</v>
      </c>
    </row>
    <row r="664" spans="1:14" x14ac:dyDescent="0.25">
      <c r="A664" s="29">
        <v>43</v>
      </c>
      <c r="B664" t="s">
        <v>28</v>
      </c>
      <c r="C664" s="1" t="s">
        <v>29</v>
      </c>
      <c r="D664" t="s">
        <v>1349</v>
      </c>
      <c r="E664" t="s">
        <v>569</v>
      </c>
      <c r="F664">
        <v>956.17</v>
      </c>
      <c r="G664">
        <v>150</v>
      </c>
      <c r="H664">
        <v>4302.7</v>
      </c>
      <c r="I664" s="31">
        <f t="shared" si="44"/>
        <v>139122.79999999999</v>
      </c>
      <c r="J664" s="16">
        <f t="shared" si="41"/>
        <v>127529.23333333332</v>
      </c>
      <c r="K664">
        <v>12</v>
      </c>
      <c r="L664" s="16">
        <f t="shared" si="42"/>
        <v>15303.507999999998</v>
      </c>
      <c r="M664">
        <v>0</v>
      </c>
      <c r="N664" s="16">
        <f t="shared" si="43"/>
        <v>0</v>
      </c>
    </row>
    <row r="665" spans="1:14" x14ac:dyDescent="0.25">
      <c r="A665" s="29">
        <v>43</v>
      </c>
      <c r="B665" t="s">
        <v>28</v>
      </c>
      <c r="C665" s="1" t="s">
        <v>29</v>
      </c>
      <c r="D665" t="s">
        <v>1380</v>
      </c>
      <c r="E665" t="s">
        <v>569</v>
      </c>
      <c r="F665">
        <v>956.17</v>
      </c>
      <c r="G665">
        <v>150</v>
      </c>
      <c r="H665">
        <v>4302.7</v>
      </c>
      <c r="I665" s="31">
        <f t="shared" si="44"/>
        <v>139122.79999999999</v>
      </c>
      <c r="J665" s="16">
        <f t="shared" si="41"/>
        <v>127529.23333333332</v>
      </c>
      <c r="K665">
        <v>12</v>
      </c>
      <c r="L665" s="16">
        <f t="shared" si="42"/>
        <v>15303.507999999998</v>
      </c>
      <c r="M665">
        <v>0</v>
      </c>
      <c r="N665" s="16">
        <f t="shared" si="43"/>
        <v>0</v>
      </c>
    </row>
    <row r="666" spans="1:14" x14ac:dyDescent="0.25">
      <c r="A666" s="29">
        <v>43</v>
      </c>
      <c r="B666" t="s">
        <v>28</v>
      </c>
      <c r="C666" s="1" t="s">
        <v>29</v>
      </c>
      <c r="D666" t="s">
        <v>1252</v>
      </c>
      <c r="E666" t="s">
        <v>569</v>
      </c>
      <c r="F666">
        <v>956.17</v>
      </c>
      <c r="G666">
        <v>150</v>
      </c>
      <c r="H666">
        <v>4302.7</v>
      </c>
      <c r="I666" s="31">
        <f t="shared" si="44"/>
        <v>139122.79999999999</v>
      </c>
      <c r="J666" s="16">
        <f t="shared" si="41"/>
        <v>127529.23333333332</v>
      </c>
      <c r="K666">
        <v>12</v>
      </c>
      <c r="L666" s="16">
        <f t="shared" si="42"/>
        <v>15303.507999999998</v>
      </c>
      <c r="M666">
        <v>0</v>
      </c>
      <c r="N666" s="16">
        <f t="shared" si="43"/>
        <v>0</v>
      </c>
    </row>
    <row r="667" spans="1:14" x14ac:dyDescent="0.25">
      <c r="A667" s="29">
        <v>43</v>
      </c>
      <c r="B667" t="s">
        <v>28</v>
      </c>
      <c r="C667" s="1" t="s">
        <v>29</v>
      </c>
      <c r="D667" t="s">
        <v>1412</v>
      </c>
      <c r="E667" t="s">
        <v>569</v>
      </c>
      <c r="F667">
        <v>956.17</v>
      </c>
      <c r="G667">
        <v>150</v>
      </c>
      <c r="H667">
        <v>4302.7</v>
      </c>
      <c r="I667" s="31">
        <f t="shared" si="44"/>
        <v>139122.79999999999</v>
      </c>
      <c r="J667" s="16">
        <f t="shared" si="41"/>
        <v>127529.23333333332</v>
      </c>
      <c r="K667">
        <v>12</v>
      </c>
      <c r="L667" s="16">
        <f t="shared" si="42"/>
        <v>15303.507999999998</v>
      </c>
      <c r="M667">
        <v>0</v>
      </c>
      <c r="N667" s="16">
        <f t="shared" si="43"/>
        <v>0</v>
      </c>
    </row>
    <row r="668" spans="1:14" x14ac:dyDescent="0.25">
      <c r="A668" s="29">
        <v>43</v>
      </c>
      <c r="B668" t="s">
        <v>28</v>
      </c>
      <c r="C668" s="1" t="s">
        <v>29</v>
      </c>
      <c r="D668" t="s">
        <v>1381</v>
      </c>
      <c r="E668" t="s">
        <v>569</v>
      </c>
      <c r="F668">
        <v>956.17</v>
      </c>
      <c r="G668">
        <v>150</v>
      </c>
      <c r="H668">
        <v>4302.7</v>
      </c>
      <c r="I668" s="31">
        <f t="shared" si="44"/>
        <v>139122.79999999999</v>
      </c>
      <c r="J668" s="16">
        <f t="shared" si="41"/>
        <v>127529.23333333332</v>
      </c>
      <c r="K668">
        <v>12</v>
      </c>
      <c r="L668" s="16">
        <f t="shared" si="42"/>
        <v>15303.507999999998</v>
      </c>
      <c r="M668">
        <v>0</v>
      </c>
      <c r="N668" s="16">
        <f t="shared" si="43"/>
        <v>0</v>
      </c>
    </row>
    <row r="669" spans="1:14" x14ac:dyDescent="0.25">
      <c r="A669" s="29">
        <v>43</v>
      </c>
      <c r="B669" t="s">
        <v>28</v>
      </c>
      <c r="C669" s="1" t="s">
        <v>29</v>
      </c>
      <c r="D669" t="s">
        <v>1413</v>
      </c>
      <c r="E669" t="s">
        <v>569</v>
      </c>
      <c r="F669">
        <v>956.17</v>
      </c>
      <c r="G669">
        <v>150</v>
      </c>
      <c r="H669">
        <v>4302.7</v>
      </c>
      <c r="I669" s="31">
        <f t="shared" si="44"/>
        <v>139122.79999999999</v>
      </c>
      <c r="J669" s="16">
        <f t="shared" si="41"/>
        <v>127529.23333333332</v>
      </c>
      <c r="K669">
        <v>12</v>
      </c>
      <c r="L669" s="16">
        <f t="shared" si="42"/>
        <v>15303.507999999998</v>
      </c>
      <c r="M669">
        <v>0</v>
      </c>
      <c r="N669" s="16">
        <f t="shared" si="43"/>
        <v>0</v>
      </c>
    </row>
    <row r="670" spans="1:14" x14ac:dyDescent="0.25">
      <c r="A670" s="29">
        <v>43</v>
      </c>
      <c r="B670" t="s">
        <v>28</v>
      </c>
      <c r="C670" s="1" t="s">
        <v>29</v>
      </c>
      <c r="D670" t="s">
        <v>1305</v>
      </c>
      <c r="E670" t="s">
        <v>569</v>
      </c>
      <c r="F670">
        <v>956.17</v>
      </c>
      <c r="G670">
        <v>250</v>
      </c>
      <c r="H670">
        <v>7171.17</v>
      </c>
      <c r="I670" s="31">
        <f t="shared" si="44"/>
        <v>231871.33</v>
      </c>
      <c r="J670" s="16">
        <f t="shared" si="41"/>
        <v>212548.71916666665</v>
      </c>
      <c r="K670">
        <v>12</v>
      </c>
      <c r="L670" s="16">
        <f t="shared" si="42"/>
        <v>25505.846299999997</v>
      </c>
      <c r="M670">
        <v>0</v>
      </c>
      <c r="N670" s="16">
        <f t="shared" si="43"/>
        <v>0</v>
      </c>
    </row>
    <row r="671" spans="1:14" x14ac:dyDescent="0.25">
      <c r="A671" s="29">
        <v>43</v>
      </c>
      <c r="B671" t="s">
        <v>28</v>
      </c>
      <c r="C671" s="1" t="s">
        <v>29</v>
      </c>
      <c r="D671" t="s">
        <v>1414</v>
      </c>
      <c r="E671" t="s">
        <v>569</v>
      </c>
      <c r="F671">
        <v>955.86</v>
      </c>
      <c r="G671">
        <v>150</v>
      </c>
      <c r="H671">
        <v>4300.8999999999996</v>
      </c>
      <c r="I671" s="31">
        <f t="shared" si="44"/>
        <v>139078.1</v>
      </c>
      <c r="J671" s="16">
        <f t="shared" si="41"/>
        <v>127488.25833333333</v>
      </c>
      <c r="K671">
        <v>12</v>
      </c>
      <c r="L671" s="16">
        <f t="shared" si="42"/>
        <v>15298.591</v>
      </c>
      <c r="M671">
        <v>0</v>
      </c>
      <c r="N671" s="16">
        <f t="shared" si="43"/>
        <v>0</v>
      </c>
    </row>
    <row r="672" spans="1:14" x14ac:dyDescent="0.25">
      <c r="A672" s="29">
        <v>43</v>
      </c>
      <c r="B672" t="s">
        <v>28</v>
      </c>
      <c r="C672" s="1" t="s">
        <v>29</v>
      </c>
      <c r="D672" t="s">
        <v>1350</v>
      </c>
      <c r="E672" t="s">
        <v>569</v>
      </c>
      <c r="F672">
        <v>956.14</v>
      </c>
      <c r="G672">
        <v>150</v>
      </c>
      <c r="H672">
        <v>4302.7</v>
      </c>
      <c r="I672" s="31">
        <f t="shared" si="44"/>
        <v>139118.29999999999</v>
      </c>
      <c r="J672" s="16">
        <f t="shared" si="41"/>
        <v>127525.10833333332</v>
      </c>
      <c r="K672">
        <v>12</v>
      </c>
      <c r="L672" s="16">
        <f t="shared" si="42"/>
        <v>15303.012999999999</v>
      </c>
      <c r="M672">
        <v>0</v>
      </c>
      <c r="N672" s="16">
        <f t="shared" si="43"/>
        <v>0</v>
      </c>
    </row>
    <row r="673" spans="1:14" x14ac:dyDescent="0.25">
      <c r="A673" s="29">
        <v>43</v>
      </c>
      <c r="B673" t="s">
        <v>28</v>
      </c>
      <c r="C673" s="1" t="s">
        <v>29</v>
      </c>
      <c r="D673" t="s">
        <v>1351</v>
      </c>
      <c r="E673" t="s">
        <v>569</v>
      </c>
      <c r="F673">
        <v>955.86</v>
      </c>
      <c r="G673">
        <v>150</v>
      </c>
      <c r="H673">
        <v>4300.8999999999996</v>
      </c>
      <c r="I673" s="31">
        <f t="shared" si="44"/>
        <v>139078.1</v>
      </c>
      <c r="J673" s="16">
        <f t="shared" si="41"/>
        <v>127488.25833333333</v>
      </c>
      <c r="K673">
        <v>12</v>
      </c>
      <c r="L673" s="16">
        <f t="shared" si="42"/>
        <v>15298.591</v>
      </c>
      <c r="M673">
        <v>0</v>
      </c>
      <c r="N673" s="16">
        <f t="shared" si="43"/>
        <v>0</v>
      </c>
    </row>
    <row r="674" spans="1:14" x14ac:dyDescent="0.25">
      <c r="A674" s="29">
        <v>43</v>
      </c>
      <c r="B674" t="s">
        <v>28</v>
      </c>
      <c r="C674" s="1" t="s">
        <v>29</v>
      </c>
      <c r="D674" t="s">
        <v>1265</v>
      </c>
      <c r="E674" t="s">
        <v>569</v>
      </c>
      <c r="F674">
        <v>956.17</v>
      </c>
      <c r="G674">
        <v>250</v>
      </c>
      <c r="H674">
        <v>7171.17</v>
      </c>
      <c r="I674" s="31">
        <f t="shared" si="44"/>
        <v>231871.33</v>
      </c>
      <c r="J674" s="16">
        <f t="shared" si="41"/>
        <v>212548.71916666665</v>
      </c>
      <c r="K674">
        <v>12</v>
      </c>
      <c r="L674" s="16">
        <f t="shared" si="42"/>
        <v>25505.846299999997</v>
      </c>
      <c r="M674">
        <v>0</v>
      </c>
      <c r="N674" s="16">
        <f t="shared" si="43"/>
        <v>0</v>
      </c>
    </row>
    <row r="675" spans="1:14" x14ac:dyDescent="0.25">
      <c r="A675" s="29">
        <v>43</v>
      </c>
      <c r="B675" t="s">
        <v>28</v>
      </c>
      <c r="C675" s="1" t="s">
        <v>29</v>
      </c>
      <c r="D675" t="s">
        <v>1395</v>
      </c>
      <c r="E675" t="s">
        <v>569</v>
      </c>
      <c r="F675">
        <v>956.17</v>
      </c>
      <c r="G675">
        <v>120</v>
      </c>
      <c r="H675">
        <v>3442.34</v>
      </c>
      <c r="I675" s="31">
        <f t="shared" si="44"/>
        <v>111298.06</v>
      </c>
      <c r="J675" s="16">
        <f t="shared" si="41"/>
        <v>102023.22166666666</v>
      </c>
      <c r="K675">
        <v>12</v>
      </c>
      <c r="L675" s="16">
        <f t="shared" si="42"/>
        <v>12242.786599999999</v>
      </c>
      <c r="M675">
        <v>0</v>
      </c>
      <c r="N675" s="16">
        <f t="shared" si="43"/>
        <v>0</v>
      </c>
    </row>
    <row r="676" spans="1:14" x14ac:dyDescent="0.25">
      <c r="A676" s="29">
        <v>43</v>
      </c>
      <c r="B676" t="s">
        <v>28</v>
      </c>
      <c r="C676" s="1" t="s">
        <v>29</v>
      </c>
      <c r="D676" t="s">
        <v>1255</v>
      </c>
      <c r="E676" t="s">
        <v>569</v>
      </c>
      <c r="F676">
        <v>3752.73</v>
      </c>
      <c r="G676">
        <v>144</v>
      </c>
      <c r="H676">
        <v>16211.71</v>
      </c>
      <c r="I676" s="31">
        <f t="shared" si="44"/>
        <v>524181.41</v>
      </c>
      <c r="J676" s="16">
        <f t="shared" si="41"/>
        <v>480499.6258333333</v>
      </c>
      <c r="K676">
        <v>12</v>
      </c>
      <c r="L676" s="16">
        <f t="shared" si="42"/>
        <v>57659.955099999999</v>
      </c>
      <c r="M676">
        <v>0</v>
      </c>
      <c r="N676" s="16">
        <f t="shared" si="43"/>
        <v>0</v>
      </c>
    </row>
    <row r="677" spans="1:14" x14ac:dyDescent="0.25">
      <c r="A677" s="29">
        <v>43</v>
      </c>
      <c r="B677" t="s">
        <v>28</v>
      </c>
      <c r="C677" s="1" t="s">
        <v>29</v>
      </c>
      <c r="D677" t="s">
        <v>1309</v>
      </c>
      <c r="E677" t="s">
        <v>569</v>
      </c>
      <c r="F677">
        <v>2190.17</v>
      </c>
      <c r="G677">
        <v>144</v>
      </c>
      <c r="H677">
        <v>9461.26</v>
      </c>
      <c r="I677" s="31">
        <f t="shared" si="44"/>
        <v>305923.21999999997</v>
      </c>
      <c r="J677" s="16">
        <f t="shared" si="41"/>
        <v>280429.61833333329</v>
      </c>
      <c r="K677">
        <v>12</v>
      </c>
      <c r="L677" s="16">
        <f t="shared" si="42"/>
        <v>33651.554199999991</v>
      </c>
      <c r="M677">
        <v>0</v>
      </c>
      <c r="N677" s="16">
        <f t="shared" si="43"/>
        <v>0</v>
      </c>
    </row>
    <row r="678" spans="1:14" x14ac:dyDescent="0.25">
      <c r="A678" s="29">
        <v>43</v>
      </c>
      <c r="B678" t="s">
        <v>28</v>
      </c>
      <c r="C678" s="1" t="s">
        <v>29</v>
      </c>
      <c r="D678" t="s">
        <v>1271</v>
      </c>
      <c r="E678" t="s">
        <v>569</v>
      </c>
      <c r="F678">
        <v>1503.11</v>
      </c>
      <c r="G678">
        <v>288</v>
      </c>
      <c r="H678">
        <v>12986.49</v>
      </c>
      <c r="I678" s="31">
        <f t="shared" si="44"/>
        <v>419909.19</v>
      </c>
      <c r="J678" s="16">
        <f t="shared" si="41"/>
        <v>384916.75750000001</v>
      </c>
      <c r="K678">
        <v>12</v>
      </c>
      <c r="L678" s="16">
        <f t="shared" si="42"/>
        <v>46190.010900000001</v>
      </c>
      <c r="M678">
        <v>0</v>
      </c>
      <c r="N678" s="16">
        <f t="shared" si="43"/>
        <v>0</v>
      </c>
    </row>
    <row r="679" spans="1:14" x14ac:dyDescent="0.25">
      <c r="A679" s="29">
        <v>44</v>
      </c>
      <c r="B679" t="s">
        <v>28</v>
      </c>
      <c r="C679" s="1" t="s">
        <v>29</v>
      </c>
      <c r="D679" t="s">
        <v>1332</v>
      </c>
      <c r="E679" t="s">
        <v>569</v>
      </c>
      <c r="F679">
        <v>176846.85</v>
      </c>
      <c r="G679">
        <v>20</v>
      </c>
      <c r="H679">
        <v>636036.04</v>
      </c>
      <c r="I679" s="31">
        <f t="shared" si="44"/>
        <v>2900900.96</v>
      </c>
      <c r="J679" s="16">
        <f t="shared" si="41"/>
        <v>2659159.2133333334</v>
      </c>
      <c r="K679">
        <v>12</v>
      </c>
      <c r="L679" s="16">
        <f t="shared" si="42"/>
        <v>319099.10560000001</v>
      </c>
      <c r="M679">
        <v>0</v>
      </c>
      <c r="N679" s="16">
        <f t="shared" si="43"/>
        <v>0</v>
      </c>
    </row>
    <row r="680" spans="1:14" x14ac:dyDescent="0.25">
      <c r="A680" s="29">
        <v>44</v>
      </c>
      <c r="B680" t="s">
        <v>28</v>
      </c>
      <c r="C680" s="1" t="s">
        <v>29</v>
      </c>
      <c r="D680" t="s">
        <v>1333</v>
      </c>
      <c r="E680" t="s">
        <v>569</v>
      </c>
      <c r="F680">
        <v>202252.25</v>
      </c>
      <c r="G680">
        <v>30</v>
      </c>
      <c r="H680">
        <v>1091891.8899999999</v>
      </c>
      <c r="I680" s="31">
        <f t="shared" si="44"/>
        <v>4975675.6100000003</v>
      </c>
      <c r="J680" s="16">
        <f t="shared" si="41"/>
        <v>4561035.9758333331</v>
      </c>
      <c r="K680">
        <v>12</v>
      </c>
      <c r="L680" s="16">
        <f t="shared" si="42"/>
        <v>547324.31709999999</v>
      </c>
      <c r="M680">
        <v>0</v>
      </c>
      <c r="N680" s="16">
        <f t="shared" si="43"/>
        <v>0</v>
      </c>
    </row>
    <row r="681" spans="1:14" x14ac:dyDescent="0.25">
      <c r="A681" s="29">
        <v>44</v>
      </c>
      <c r="B681" t="s">
        <v>28</v>
      </c>
      <c r="C681" s="1" t="s">
        <v>29</v>
      </c>
      <c r="D681" t="s">
        <v>1415</v>
      </c>
      <c r="E681" t="s">
        <v>569</v>
      </c>
      <c r="F681">
        <v>225405.41</v>
      </c>
      <c r="G681">
        <v>60</v>
      </c>
      <c r="H681">
        <v>2740541.4399999999</v>
      </c>
      <c r="I681" s="31">
        <f t="shared" si="44"/>
        <v>10783783.16</v>
      </c>
      <c r="J681" s="16">
        <f t="shared" si="41"/>
        <v>9885134.5633333325</v>
      </c>
      <c r="K681">
        <v>12</v>
      </c>
      <c r="L681" s="16">
        <f t="shared" si="42"/>
        <v>1186216.1475999998</v>
      </c>
      <c r="M681">
        <v>0</v>
      </c>
      <c r="N681" s="16">
        <f t="shared" si="43"/>
        <v>0</v>
      </c>
    </row>
    <row r="682" spans="1:14" x14ac:dyDescent="0.25">
      <c r="A682" s="29">
        <v>44</v>
      </c>
      <c r="B682" t="s">
        <v>28</v>
      </c>
      <c r="C682" s="1" t="s">
        <v>29</v>
      </c>
      <c r="D682" t="s">
        <v>1336</v>
      </c>
      <c r="E682" t="s">
        <v>569</v>
      </c>
      <c r="F682">
        <v>299099.09999999998</v>
      </c>
      <c r="G682">
        <v>90</v>
      </c>
      <c r="H682">
        <v>6324324.3200000003</v>
      </c>
      <c r="I682" s="31">
        <f t="shared" si="44"/>
        <v>20594594.679999996</v>
      </c>
      <c r="J682" s="16">
        <f t="shared" si="41"/>
        <v>18878378.456666663</v>
      </c>
      <c r="K682">
        <v>12</v>
      </c>
      <c r="L682" s="16">
        <f t="shared" si="42"/>
        <v>2265405.4147999994</v>
      </c>
      <c r="M682">
        <v>0</v>
      </c>
      <c r="N682" s="16">
        <f t="shared" si="43"/>
        <v>0</v>
      </c>
    </row>
    <row r="683" spans="1:14" x14ac:dyDescent="0.25">
      <c r="A683" s="29">
        <v>44</v>
      </c>
      <c r="B683" t="s">
        <v>28</v>
      </c>
      <c r="C683" s="1" t="s">
        <v>29</v>
      </c>
      <c r="D683" t="s">
        <v>1416</v>
      </c>
      <c r="E683" t="s">
        <v>569</v>
      </c>
      <c r="F683">
        <v>77207.210000000006</v>
      </c>
      <c r="G683">
        <v>180</v>
      </c>
      <c r="H683">
        <v>3113514.41</v>
      </c>
      <c r="I683" s="31">
        <f t="shared" si="44"/>
        <v>10783783.390000001</v>
      </c>
      <c r="J683" s="16">
        <f t="shared" si="41"/>
        <v>9885134.774166666</v>
      </c>
      <c r="K683">
        <v>12</v>
      </c>
      <c r="L683" s="16">
        <f t="shared" si="42"/>
        <v>1186216.1728999999</v>
      </c>
      <c r="M683">
        <v>0</v>
      </c>
      <c r="N683" s="16">
        <f t="shared" si="43"/>
        <v>0</v>
      </c>
    </row>
    <row r="684" spans="1:14" x14ac:dyDescent="0.25">
      <c r="A684" s="29">
        <v>44</v>
      </c>
      <c r="B684" t="s">
        <v>28</v>
      </c>
      <c r="C684" s="1" t="s">
        <v>29</v>
      </c>
      <c r="D684" t="s">
        <v>1328</v>
      </c>
      <c r="E684" t="s">
        <v>569</v>
      </c>
      <c r="F684">
        <v>301981.98</v>
      </c>
      <c r="G684">
        <v>120</v>
      </c>
      <c r="H684">
        <v>8108108.1100000003</v>
      </c>
      <c r="I684" s="31">
        <f t="shared" si="44"/>
        <v>28129729.489999995</v>
      </c>
      <c r="J684" s="16">
        <f t="shared" si="41"/>
        <v>25785585.365833327</v>
      </c>
      <c r="K684">
        <v>12</v>
      </c>
      <c r="L684" s="16">
        <f t="shared" si="42"/>
        <v>3094270.2438999992</v>
      </c>
      <c r="M684">
        <v>0</v>
      </c>
      <c r="N684" s="16">
        <f t="shared" si="43"/>
        <v>0</v>
      </c>
    </row>
    <row r="685" spans="1:14" x14ac:dyDescent="0.25">
      <c r="A685" s="29">
        <v>44</v>
      </c>
      <c r="B685" t="s">
        <v>28</v>
      </c>
      <c r="C685" s="1" t="s">
        <v>29</v>
      </c>
      <c r="D685" t="s">
        <v>1417</v>
      </c>
      <c r="E685" t="s">
        <v>569</v>
      </c>
      <c r="F685">
        <v>69639.64</v>
      </c>
      <c r="G685">
        <v>360</v>
      </c>
      <c r="H685">
        <v>4962161.26</v>
      </c>
      <c r="I685" s="31">
        <f t="shared" si="44"/>
        <v>20108109.140000001</v>
      </c>
      <c r="J685" s="16">
        <f t="shared" si="41"/>
        <v>18432433.378333334</v>
      </c>
      <c r="K685">
        <v>12</v>
      </c>
      <c r="L685" s="16">
        <f t="shared" si="42"/>
        <v>2211892.0054000001</v>
      </c>
      <c r="M685">
        <v>0</v>
      </c>
      <c r="N685" s="16">
        <f t="shared" si="43"/>
        <v>0</v>
      </c>
    </row>
    <row r="686" spans="1:14" x14ac:dyDescent="0.25">
      <c r="A686" s="29">
        <v>44</v>
      </c>
      <c r="B686" t="s">
        <v>28</v>
      </c>
      <c r="C686" s="1" t="s">
        <v>29</v>
      </c>
      <c r="D686" t="s">
        <v>1329</v>
      </c>
      <c r="E686" t="s">
        <v>569</v>
      </c>
      <c r="F686">
        <v>273153.15000000002</v>
      </c>
      <c r="G686">
        <v>120</v>
      </c>
      <c r="H686">
        <v>6486485.5899999999</v>
      </c>
      <c r="I686" s="31">
        <f t="shared" si="44"/>
        <v>26291892.410000004</v>
      </c>
      <c r="J686" s="16">
        <f t="shared" si="41"/>
        <v>24100901.375833336</v>
      </c>
      <c r="K686">
        <v>12</v>
      </c>
      <c r="L686" s="16">
        <f t="shared" si="42"/>
        <v>2892108.1651000003</v>
      </c>
      <c r="M686">
        <v>0</v>
      </c>
      <c r="N686" s="16">
        <f t="shared" si="43"/>
        <v>0</v>
      </c>
    </row>
    <row r="687" spans="1:14" x14ac:dyDescent="0.25">
      <c r="A687" s="29">
        <v>45</v>
      </c>
      <c r="B687" t="s">
        <v>28</v>
      </c>
      <c r="C687" s="1" t="s">
        <v>29</v>
      </c>
      <c r="D687" t="s">
        <v>1277</v>
      </c>
      <c r="E687" t="s">
        <v>569</v>
      </c>
      <c r="F687">
        <v>1503.11</v>
      </c>
      <c r="G687">
        <v>432</v>
      </c>
      <c r="H687">
        <v>19480.179999999935</v>
      </c>
      <c r="I687" s="31">
        <f t="shared" si="44"/>
        <v>629863.34</v>
      </c>
      <c r="J687" s="16">
        <f t="shared" si="41"/>
        <v>577374.72833333327</v>
      </c>
      <c r="K687">
        <v>12</v>
      </c>
      <c r="L687" s="16">
        <f t="shared" si="42"/>
        <v>69284.967399999994</v>
      </c>
      <c r="M687">
        <v>0</v>
      </c>
      <c r="N687" s="16">
        <f t="shared" si="43"/>
        <v>0</v>
      </c>
    </row>
    <row r="688" spans="1:14" x14ac:dyDescent="0.25">
      <c r="A688" s="29">
        <v>45</v>
      </c>
      <c r="B688" t="s">
        <v>28</v>
      </c>
      <c r="C688" s="1" t="s">
        <v>29</v>
      </c>
      <c r="D688" t="s">
        <v>1278</v>
      </c>
      <c r="E688" t="s">
        <v>569</v>
      </c>
      <c r="F688">
        <v>1503.11</v>
      </c>
      <c r="G688">
        <v>288</v>
      </c>
      <c r="H688">
        <v>12987.390000000014</v>
      </c>
      <c r="I688" s="31">
        <f t="shared" si="44"/>
        <v>419908.29</v>
      </c>
      <c r="J688" s="16">
        <f t="shared" si="41"/>
        <v>384915.93249999994</v>
      </c>
      <c r="K688">
        <v>12</v>
      </c>
      <c r="L688" s="16">
        <f t="shared" si="42"/>
        <v>46189.911899999992</v>
      </c>
      <c r="M688">
        <v>0</v>
      </c>
      <c r="N688" s="16">
        <f t="shared" si="43"/>
        <v>0</v>
      </c>
    </row>
    <row r="689" spans="1:14" x14ac:dyDescent="0.25">
      <c r="A689" s="29">
        <v>45</v>
      </c>
      <c r="B689" t="s">
        <v>28</v>
      </c>
      <c r="C689" s="1" t="s">
        <v>29</v>
      </c>
      <c r="D689" t="s">
        <v>1279</v>
      </c>
      <c r="E689" t="s">
        <v>569</v>
      </c>
      <c r="F689">
        <v>1503.11</v>
      </c>
      <c r="G689">
        <v>432</v>
      </c>
      <c r="H689">
        <v>19480.179999999935</v>
      </c>
      <c r="I689" s="31">
        <f t="shared" si="44"/>
        <v>629863.34</v>
      </c>
      <c r="J689" s="16">
        <f t="shared" si="41"/>
        <v>577374.72833333327</v>
      </c>
      <c r="K689">
        <v>12</v>
      </c>
      <c r="L689" s="16">
        <f t="shared" si="42"/>
        <v>69284.967399999994</v>
      </c>
      <c r="M689">
        <v>0</v>
      </c>
      <c r="N689" s="16">
        <f t="shared" si="43"/>
        <v>0</v>
      </c>
    </row>
    <row r="690" spans="1:14" x14ac:dyDescent="0.25">
      <c r="A690" s="29">
        <v>45</v>
      </c>
      <c r="B690" t="s">
        <v>28</v>
      </c>
      <c r="C690" s="1" t="s">
        <v>29</v>
      </c>
      <c r="D690" t="s">
        <v>1213</v>
      </c>
      <c r="E690" t="s">
        <v>569</v>
      </c>
      <c r="F690">
        <v>1503.11</v>
      </c>
      <c r="G690">
        <v>288</v>
      </c>
      <c r="H690">
        <v>12987.390000000014</v>
      </c>
      <c r="I690" s="31">
        <f t="shared" si="44"/>
        <v>419908.29</v>
      </c>
      <c r="J690" s="16">
        <f t="shared" si="41"/>
        <v>384915.93249999994</v>
      </c>
      <c r="K690">
        <v>12</v>
      </c>
      <c r="L690" s="16">
        <f t="shared" si="42"/>
        <v>46189.911899999992</v>
      </c>
      <c r="M690">
        <v>0</v>
      </c>
      <c r="N690" s="16">
        <f t="shared" si="43"/>
        <v>0</v>
      </c>
    </row>
    <row r="691" spans="1:14" x14ac:dyDescent="0.25">
      <c r="A691" s="29">
        <v>45</v>
      </c>
      <c r="B691" t="s">
        <v>28</v>
      </c>
      <c r="C691" s="1" t="s">
        <v>29</v>
      </c>
      <c r="D691" t="s">
        <v>1214</v>
      </c>
      <c r="E691" t="s">
        <v>569</v>
      </c>
      <c r="F691">
        <v>2190.17</v>
      </c>
      <c r="G691">
        <v>720</v>
      </c>
      <c r="H691">
        <v>47308.10999999987</v>
      </c>
      <c r="I691" s="31">
        <f t="shared" si="44"/>
        <v>1529614.2900000003</v>
      </c>
      <c r="J691" s="16">
        <f t="shared" si="41"/>
        <v>1402146.4325000001</v>
      </c>
      <c r="K691">
        <v>12</v>
      </c>
      <c r="L691" s="16">
        <f t="shared" si="42"/>
        <v>168257.57190000001</v>
      </c>
      <c r="M691">
        <v>0</v>
      </c>
      <c r="N691" s="16">
        <f t="shared" si="43"/>
        <v>0</v>
      </c>
    </row>
    <row r="692" spans="1:14" x14ac:dyDescent="0.25">
      <c r="A692" s="29">
        <v>45</v>
      </c>
      <c r="B692" t="s">
        <v>28</v>
      </c>
      <c r="C692" s="1" t="s">
        <v>29</v>
      </c>
      <c r="D692" t="s">
        <v>1281</v>
      </c>
      <c r="E692" t="s">
        <v>569</v>
      </c>
      <c r="F692">
        <v>1503.11</v>
      </c>
      <c r="G692">
        <v>288</v>
      </c>
      <c r="H692">
        <v>12987.390000000014</v>
      </c>
      <c r="I692" s="31">
        <f t="shared" si="44"/>
        <v>419908.29</v>
      </c>
      <c r="J692" s="16">
        <f t="shared" si="41"/>
        <v>384915.93249999994</v>
      </c>
      <c r="K692">
        <v>12</v>
      </c>
      <c r="L692" s="16">
        <f t="shared" si="42"/>
        <v>46189.911899999992</v>
      </c>
      <c r="M692">
        <v>0</v>
      </c>
      <c r="N692" s="16">
        <f t="shared" si="43"/>
        <v>0</v>
      </c>
    </row>
    <row r="693" spans="1:14" x14ac:dyDescent="0.25">
      <c r="A693" s="29">
        <v>45</v>
      </c>
      <c r="B693" t="s">
        <v>28</v>
      </c>
      <c r="C693" s="1" t="s">
        <v>29</v>
      </c>
      <c r="D693" t="s">
        <v>1282</v>
      </c>
      <c r="E693" t="s">
        <v>569</v>
      </c>
      <c r="F693">
        <v>1503.11</v>
      </c>
      <c r="G693">
        <v>720</v>
      </c>
      <c r="H693">
        <v>32466.670000000158</v>
      </c>
      <c r="I693" s="31">
        <f t="shared" si="44"/>
        <v>1049772.5299999998</v>
      </c>
      <c r="J693" s="16">
        <f t="shared" si="41"/>
        <v>962291.48583333311</v>
      </c>
      <c r="K693">
        <v>12</v>
      </c>
      <c r="L693" s="16">
        <f t="shared" si="42"/>
        <v>115474.97829999999</v>
      </c>
      <c r="M693">
        <v>0</v>
      </c>
      <c r="N693" s="16">
        <f t="shared" si="43"/>
        <v>0</v>
      </c>
    </row>
    <row r="694" spans="1:14" x14ac:dyDescent="0.25">
      <c r="A694" s="29">
        <v>46</v>
      </c>
      <c r="B694" t="s">
        <v>28</v>
      </c>
      <c r="C694" s="1" t="s">
        <v>29</v>
      </c>
      <c r="D694" t="s">
        <v>1239</v>
      </c>
      <c r="E694" t="s">
        <v>569</v>
      </c>
      <c r="F694">
        <v>956.17</v>
      </c>
      <c r="G694">
        <v>1250</v>
      </c>
      <c r="H694">
        <v>35855.85999999987</v>
      </c>
      <c r="I694" s="31">
        <f t="shared" si="44"/>
        <v>1159356.6400000001</v>
      </c>
      <c r="J694" s="16">
        <f t="shared" si="41"/>
        <v>1062743.5866666667</v>
      </c>
      <c r="K694">
        <v>12</v>
      </c>
      <c r="L694" s="16">
        <f t="shared" si="42"/>
        <v>127529.23039999999</v>
      </c>
      <c r="M694">
        <v>0</v>
      </c>
      <c r="N694" s="16">
        <f t="shared" si="43"/>
        <v>0</v>
      </c>
    </row>
    <row r="695" spans="1:14" x14ac:dyDescent="0.25">
      <c r="A695" s="29">
        <v>46</v>
      </c>
      <c r="B695" t="s">
        <v>28</v>
      </c>
      <c r="C695" s="1" t="s">
        <v>29</v>
      </c>
      <c r="D695" t="s">
        <v>1247</v>
      </c>
      <c r="E695" t="s">
        <v>569</v>
      </c>
      <c r="F695">
        <v>974.43</v>
      </c>
      <c r="G695">
        <v>2500</v>
      </c>
      <c r="H695">
        <v>73081.979999999981</v>
      </c>
      <c r="I695" s="31">
        <f t="shared" si="44"/>
        <v>2362993.02</v>
      </c>
      <c r="J695" s="16">
        <f t="shared" si="41"/>
        <v>2166076.9350000001</v>
      </c>
      <c r="K695">
        <v>12</v>
      </c>
      <c r="L695" s="16">
        <f t="shared" si="42"/>
        <v>259929.2322</v>
      </c>
      <c r="M695">
        <v>0</v>
      </c>
      <c r="N695" s="16">
        <f t="shared" si="43"/>
        <v>0</v>
      </c>
    </row>
    <row r="696" spans="1:14" x14ac:dyDescent="0.25">
      <c r="A696" s="29">
        <v>47</v>
      </c>
      <c r="B696" t="s">
        <v>28</v>
      </c>
      <c r="C696" s="1" t="s">
        <v>29</v>
      </c>
      <c r="D696" t="s">
        <v>1314</v>
      </c>
      <c r="E696" t="s">
        <v>569</v>
      </c>
      <c r="F696">
        <v>956.17</v>
      </c>
      <c r="G696">
        <v>750</v>
      </c>
      <c r="H696">
        <v>21514.409999999916</v>
      </c>
      <c r="I696" s="31">
        <f t="shared" si="44"/>
        <v>695613.09000000008</v>
      </c>
      <c r="J696" s="16">
        <f t="shared" si="41"/>
        <v>637645.33250000002</v>
      </c>
      <c r="K696">
        <v>12</v>
      </c>
      <c r="L696" s="16">
        <f t="shared" si="42"/>
        <v>76517.439899999998</v>
      </c>
      <c r="M696">
        <v>0</v>
      </c>
      <c r="N696" s="16">
        <f t="shared" si="43"/>
        <v>0</v>
      </c>
    </row>
    <row r="697" spans="1:14" x14ac:dyDescent="0.25">
      <c r="A697" s="29">
        <v>47</v>
      </c>
      <c r="B697" t="s">
        <v>28</v>
      </c>
      <c r="C697" s="1" t="s">
        <v>29</v>
      </c>
      <c r="D697" t="s">
        <v>1340</v>
      </c>
      <c r="E697" t="s">
        <v>569</v>
      </c>
      <c r="F697">
        <v>956.17</v>
      </c>
      <c r="G697">
        <v>250</v>
      </c>
      <c r="H697">
        <v>7171.1699999999837</v>
      </c>
      <c r="I697" s="31">
        <f t="shared" si="44"/>
        <v>231871.33000000002</v>
      </c>
      <c r="J697" s="16">
        <f t="shared" ref="J697:J760" si="45">11/12*I697</f>
        <v>212548.71916666668</v>
      </c>
      <c r="K697">
        <v>12</v>
      </c>
      <c r="L697" s="16">
        <f t="shared" ref="L697:L760" si="46">J697*K697/100</f>
        <v>25505.846299999997</v>
      </c>
      <c r="M697">
        <v>0</v>
      </c>
      <c r="N697" s="16">
        <f t="shared" ref="N697:N760" si="47">M697*J697/100</f>
        <v>0</v>
      </c>
    </row>
    <row r="698" spans="1:14" x14ac:dyDescent="0.25">
      <c r="A698" s="29">
        <v>47</v>
      </c>
      <c r="B698" t="s">
        <v>28</v>
      </c>
      <c r="C698" s="1" t="s">
        <v>29</v>
      </c>
      <c r="D698" t="s">
        <v>1238</v>
      </c>
      <c r="E698" t="s">
        <v>569</v>
      </c>
      <c r="F698">
        <v>956.17</v>
      </c>
      <c r="G698">
        <v>250</v>
      </c>
      <c r="H698">
        <v>7171.1699999999837</v>
      </c>
      <c r="I698" s="31">
        <f t="shared" si="44"/>
        <v>231871.33000000002</v>
      </c>
      <c r="J698" s="16">
        <f t="shared" si="45"/>
        <v>212548.71916666668</v>
      </c>
      <c r="K698">
        <v>12</v>
      </c>
      <c r="L698" s="16">
        <f t="shared" si="46"/>
        <v>25505.846299999997</v>
      </c>
      <c r="M698">
        <v>0</v>
      </c>
      <c r="N698" s="16">
        <f t="shared" si="47"/>
        <v>0</v>
      </c>
    </row>
    <row r="699" spans="1:14" x14ac:dyDescent="0.25">
      <c r="A699" s="29">
        <v>47</v>
      </c>
      <c r="B699" t="s">
        <v>28</v>
      </c>
      <c r="C699" s="1" t="s">
        <v>29</v>
      </c>
      <c r="D699" t="s">
        <v>1262</v>
      </c>
      <c r="E699" t="s">
        <v>569</v>
      </c>
      <c r="F699">
        <v>956.17</v>
      </c>
      <c r="G699">
        <v>750</v>
      </c>
      <c r="H699">
        <v>21514.409999999916</v>
      </c>
      <c r="I699" s="31">
        <f t="shared" si="44"/>
        <v>695613.09000000008</v>
      </c>
      <c r="J699" s="16">
        <f t="shared" si="45"/>
        <v>637645.33250000002</v>
      </c>
      <c r="K699">
        <v>12</v>
      </c>
      <c r="L699" s="16">
        <f t="shared" si="46"/>
        <v>76517.439899999998</v>
      </c>
      <c r="M699">
        <v>0</v>
      </c>
      <c r="N699" s="16">
        <f t="shared" si="47"/>
        <v>0</v>
      </c>
    </row>
    <row r="700" spans="1:14" x14ac:dyDescent="0.25">
      <c r="A700" s="29">
        <v>47</v>
      </c>
      <c r="B700" t="s">
        <v>28</v>
      </c>
      <c r="C700" s="1" t="s">
        <v>29</v>
      </c>
      <c r="D700" t="s">
        <v>1239</v>
      </c>
      <c r="E700" t="s">
        <v>569</v>
      </c>
      <c r="F700">
        <v>956.17</v>
      </c>
      <c r="G700">
        <v>750</v>
      </c>
      <c r="H700">
        <v>21514.409999999916</v>
      </c>
      <c r="I700" s="31">
        <f t="shared" si="44"/>
        <v>695613.09000000008</v>
      </c>
      <c r="J700" s="16">
        <f t="shared" si="45"/>
        <v>637645.33250000002</v>
      </c>
      <c r="K700">
        <v>12</v>
      </c>
      <c r="L700" s="16">
        <f t="shared" si="46"/>
        <v>76517.439899999998</v>
      </c>
      <c r="M700">
        <v>0</v>
      </c>
      <c r="N700" s="16">
        <f t="shared" si="47"/>
        <v>0</v>
      </c>
    </row>
    <row r="701" spans="1:14" x14ac:dyDescent="0.25">
      <c r="A701" s="29">
        <v>47</v>
      </c>
      <c r="B701" t="s">
        <v>28</v>
      </c>
      <c r="C701" s="1" t="s">
        <v>29</v>
      </c>
      <c r="D701" t="s">
        <v>1242</v>
      </c>
      <c r="E701" t="s">
        <v>569</v>
      </c>
      <c r="F701">
        <v>956.17</v>
      </c>
      <c r="G701">
        <v>250</v>
      </c>
      <c r="H701">
        <v>7171.1699999999837</v>
      </c>
      <c r="I701" s="31">
        <f t="shared" si="44"/>
        <v>231871.33000000002</v>
      </c>
      <c r="J701" s="16">
        <f t="shared" si="45"/>
        <v>212548.71916666668</v>
      </c>
      <c r="K701">
        <v>12</v>
      </c>
      <c r="L701" s="16">
        <f t="shared" si="46"/>
        <v>25505.846299999997</v>
      </c>
      <c r="M701">
        <v>0</v>
      </c>
      <c r="N701" s="16">
        <f t="shared" si="47"/>
        <v>0</v>
      </c>
    </row>
    <row r="702" spans="1:14" x14ac:dyDescent="0.25">
      <c r="A702" s="29">
        <v>47</v>
      </c>
      <c r="B702" t="s">
        <v>28</v>
      </c>
      <c r="C702" s="1" t="s">
        <v>29</v>
      </c>
      <c r="D702" t="s">
        <v>1315</v>
      </c>
      <c r="E702" t="s">
        <v>569</v>
      </c>
      <c r="F702">
        <v>956.17</v>
      </c>
      <c r="G702">
        <v>250</v>
      </c>
      <c r="H702">
        <v>7171.1699999999837</v>
      </c>
      <c r="I702" s="31">
        <f t="shared" si="44"/>
        <v>231871.33000000002</v>
      </c>
      <c r="J702" s="16">
        <f t="shared" si="45"/>
        <v>212548.71916666668</v>
      </c>
      <c r="K702">
        <v>12</v>
      </c>
      <c r="L702" s="16">
        <f t="shared" si="46"/>
        <v>25505.846299999997</v>
      </c>
      <c r="M702">
        <v>0</v>
      </c>
      <c r="N702" s="16">
        <f t="shared" si="47"/>
        <v>0</v>
      </c>
    </row>
    <row r="703" spans="1:14" x14ac:dyDescent="0.25">
      <c r="A703" s="29">
        <v>47</v>
      </c>
      <c r="B703" t="s">
        <v>28</v>
      </c>
      <c r="C703" s="1" t="s">
        <v>29</v>
      </c>
      <c r="D703" t="s">
        <v>1245</v>
      </c>
      <c r="E703" t="s">
        <v>569</v>
      </c>
      <c r="F703">
        <v>956.17</v>
      </c>
      <c r="G703">
        <v>750</v>
      </c>
      <c r="H703">
        <v>21514.409999999916</v>
      </c>
      <c r="I703" s="31">
        <f t="shared" si="44"/>
        <v>695613.09000000008</v>
      </c>
      <c r="J703" s="16">
        <f t="shared" si="45"/>
        <v>637645.33250000002</v>
      </c>
      <c r="K703">
        <v>12</v>
      </c>
      <c r="L703" s="16">
        <f t="shared" si="46"/>
        <v>76517.439899999998</v>
      </c>
      <c r="M703">
        <v>0</v>
      </c>
      <c r="N703" s="16">
        <f t="shared" si="47"/>
        <v>0</v>
      </c>
    </row>
    <row r="704" spans="1:14" x14ac:dyDescent="0.25">
      <c r="A704" s="29">
        <v>47</v>
      </c>
      <c r="B704" t="s">
        <v>28</v>
      </c>
      <c r="C704" s="1" t="s">
        <v>29</v>
      </c>
      <c r="D704" t="s">
        <v>1250</v>
      </c>
      <c r="E704" t="s">
        <v>569</v>
      </c>
      <c r="F704">
        <v>956.17</v>
      </c>
      <c r="G704">
        <v>250</v>
      </c>
      <c r="H704">
        <v>7171.1699999999837</v>
      </c>
      <c r="I704" s="31">
        <f t="shared" si="44"/>
        <v>231871.33000000002</v>
      </c>
      <c r="J704" s="16">
        <f t="shared" si="45"/>
        <v>212548.71916666668</v>
      </c>
      <c r="K704">
        <v>12</v>
      </c>
      <c r="L704" s="16">
        <f t="shared" si="46"/>
        <v>25505.846299999997</v>
      </c>
      <c r="M704">
        <v>0</v>
      </c>
      <c r="N704" s="16">
        <f t="shared" si="47"/>
        <v>0</v>
      </c>
    </row>
    <row r="705" spans="1:14" x14ac:dyDescent="0.25">
      <c r="A705" s="29">
        <v>47</v>
      </c>
      <c r="B705" t="s">
        <v>28</v>
      </c>
      <c r="C705" s="1" t="s">
        <v>29</v>
      </c>
      <c r="D705" t="s">
        <v>1251</v>
      </c>
      <c r="E705" t="s">
        <v>569</v>
      </c>
      <c r="F705">
        <v>956.17</v>
      </c>
      <c r="G705">
        <v>500</v>
      </c>
      <c r="H705">
        <v>14343.240000000049</v>
      </c>
      <c r="I705" s="31">
        <f t="shared" si="44"/>
        <v>463741.75999999995</v>
      </c>
      <c r="J705" s="16">
        <f t="shared" si="45"/>
        <v>425096.61333333328</v>
      </c>
      <c r="K705">
        <v>12</v>
      </c>
      <c r="L705" s="16">
        <f t="shared" si="46"/>
        <v>51011.593599999993</v>
      </c>
      <c r="M705">
        <v>0</v>
      </c>
      <c r="N705" s="16">
        <f t="shared" si="47"/>
        <v>0</v>
      </c>
    </row>
    <row r="706" spans="1:14" x14ac:dyDescent="0.25">
      <c r="A706" s="29">
        <v>47</v>
      </c>
      <c r="B706" t="s">
        <v>28</v>
      </c>
      <c r="C706" s="1" t="s">
        <v>29</v>
      </c>
      <c r="D706" t="s">
        <v>1349</v>
      </c>
      <c r="E706" t="s">
        <v>569</v>
      </c>
      <c r="F706">
        <v>956.17</v>
      </c>
      <c r="G706">
        <v>250</v>
      </c>
      <c r="H706">
        <v>7171.1699999999837</v>
      </c>
      <c r="I706" s="31">
        <f t="shared" si="44"/>
        <v>231871.33000000002</v>
      </c>
      <c r="J706" s="16">
        <f t="shared" si="45"/>
        <v>212548.71916666668</v>
      </c>
      <c r="K706">
        <v>12</v>
      </c>
      <c r="L706" s="16">
        <f t="shared" si="46"/>
        <v>25505.846299999997</v>
      </c>
      <c r="M706">
        <v>0</v>
      </c>
      <c r="N706" s="16">
        <f t="shared" si="47"/>
        <v>0</v>
      </c>
    </row>
    <row r="707" spans="1:14" x14ac:dyDescent="0.25">
      <c r="A707" s="29">
        <v>47</v>
      </c>
      <c r="B707" t="s">
        <v>28</v>
      </c>
      <c r="C707" s="1" t="s">
        <v>29</v>
      </c>
      <c r="D707" t="s">
        <v>1414</v>
      </c>
      <c r="E707" t="s">
        <v>569</v>
      </c>
      <c r="F707">
        <v>955.86</v>
      </c>
      <c r="G707">
        <v>250</v>
      </c>
      <c r="H707">
        <v>7169.3699999999953</v>
      </c>
      <c r="I707" s="31">
        <f t="shared" ref="I707:I770" si="48">G707*F707-H707</f>
        <v>231795.63</v>
      </c>
      <c r="J707" s="16">
        <f t="shared" si="45"/>
        <v>212479.32749999998</v>
      </c>
      <c r="K707">
        <v>12</v>
      </c>
      <c r="L707" s="16">
        <f t="shared" si="46"/>
        <v>25497.519299999996</v>
      </c>
      <c r="M707">
        <v>0</v>
      </c>
      <c r="N707" s="16">
        <f t="shared" si="47"/>
        <v>0</v>
      </c>
    </row>
    <row r="708" spans="1:14" x14ac:dyDescent="0.25">
      <c r="A708" s="29">
        <v>47</v>
      </c>
      <c r="B708" t="s">
        <v>28</v>
      </c>
      <c r="C708" s="1" t="s">
        <v>29</v>
      </c>
      <c r="D708" t="s">
        <v>1350</v>
      </c>
      <c r="E708" t="s">
        <v>569</v>
      </c>
      <c r="F708">
        <v>956.14</v>
      </c>
      <c r="G708">
        <v>250</v>
      </c>
      <c r="H708">
        <v>7171.1700000000128</v>
      </c>
      <c r="I708" s="31">
        <f t="shared" si="48"/>
        <v>231863.83</v>
      </c>
      <c r="J708" s="16">
        <f t="shared" si="45"/>
        <v>212541.84416666665</v>
      </c>
      <c r="K708">
        <v>12</v>
      </c>
      <c r="L708" s="16">
        <f t="shared" si="46"/>
        <v>25505.0213</v>
      </c>
      <c r="M708">
        <v>0</v>
      </c>
      <c r="N708" s="16">
        <f t="shared" si="47"/>
        <v>0</v>
      </c>
    </row>
    <row r="709" spans="1:14" x14ac:dyDescent="0.25">
      <c r="A709" s="29">
        <v>47</v>
      </c>
      <c r="B709" t="s">
        <v>28</v>
      </c>
      <c r="C709" s="1" t="s">
        <v>29</v>
      </c>
      <c r="D709" t="s">
        <v>1351</v>
      </c>
      <c r="E709" t="s">
        <v>569</v>
      </c>
      <c r="F709">
        <v>955.86</v>
      </c>
      <c r="G709">
        <v>250</v>
      </c>
      <c r="H709">
        <v>7169.3699999999953</v>
      </c>
      <c r="I709" s="31">
        <f t="shared" si="48"/>
        <v>231795.63</v>
      </c>
      <c r="J709" s="16">
        <f t="shared" si="45"/>
        <v>212479.32749999998</v>
      </c>
      <c r="K709">
        <v>12</v>
      </c>
      <c r="L709" s="16">
        <f t="shared" si="46"/>
        <v>25497.519299999996</v>
      </c>
      <c r="M709">
        <v>0</v>
      </c>
      <c r="N709" s="16">
        <f t="shared" si="47"/>
        <v>0</v>
      </c>
    </row>
    <row r="710" spans="1:14" x14ac:dyDescent="0.25">
      <c r="A710" s="29">
        <v>47</v>
      </c>
      <c r="B710" t="s">
        <v>28</v>
      </c>
      <c r="C710" s="1" t="s">
        <v>29</v>
      </c>
      <c r="D710" t="s">
        <v>1265</v>
      </c>
      <c r="E710" t="s">
        <v>569</v>
      </c>
      <c r="F710">
        <v>956.17</v>
      </c>
      <c r="G710">
        <v>250</v>
      </c>
      <c r="H710">
        <v>7171.1699999999837</v>
      </c>
      <c r="I710" s="31">
        <f t="shared" si="48"/>
        <v>231871.33000000002</v>
      </c>
      <c r="J710" s="16">
        <f t="shared" si="45"/>
        <v>212548.71916666668</v>
      </c>
      <c r="K710">
        <v>12</v>
      </c>
      <c r="L710" s="16">
        <f t="shared" si="46"/>
        <v>25505.846299999997</v>
      </c>
      <c r="M710">
        <v>0</v>
      </c>
      <c r="N710" s="16">
        <f t="shared" si="47"/>
        <v>0</v>
      </c>
    </row>
    <row r="711" spans="1:14" x14ac:dyDescent="0.25">
      <c r="A711" s="29">
        <v>48</v>
      </c>
      <c r="B711" t="s">
        <v>28</v>
      </c>
      <c r="C711" s="1" t="s">
        <v>29</v>
      </c>
      <c r="D711" t="s">
        <v>1277</v>
      </c>
      <c r="E711" t="s">
        <v>569</v>
      </c>
      <c r="F711">
        <v>1503.11</v>
      </c>
      <c r="G711">
        <v>720</v>
      </c>
      <c r="H711">
        <v>32466.670000000158</v>
      </c>
      <c r="I711" s="31">
        <f t="shared" si="48"/>
        <v>1049772.5299999998</v>
      </c>
      <c r="J711" s="16">
        <f t="shared" si="45"/>
        <v>962291.48583333311</v>
      </c>
      <c r="K711">
        <v>12</v>
      </c>
      <c r="L711" s="16">
        <f t="shared" si="46"/>
        <v>115474.97829999999</v>
      </c>
      <c r="M711">
        <v>0</v>
      </c>
      <c r="N711" s="16">
        <f t="shared" si="47"/>
        <v>0</v>
      </c>
    </row>
    <row r="712" spans="1:14" x14ac:dyDescent="0.25">
      <c r="A712" s="29">
        <v>48</v>
      </c>
      <c r="B712" t="s">
        <v>28</v>
      </c>
      <c r="C712" s="1" t="s">
        <v>29</v>
      </c>
      <c r="D712" t="s">
        <v>1278</v>
      </c>
      <c r="E712" t="s">
        <v>569</v>
      </c>
      <c r="F712">
        <v>1503.11</v>
      </c>
      <c r="G712">
        <v>288</v>
      </c>
      <c r="H712">
        <v>12987.390000000014</v>
      </c>
      <c r="I712" s="31">
        <f t="shared" si="48"/>
        <v>419908.29</v>
      </c>
      <c r="J712" s="16">
        <f t="shared" si="45"/>
        <v>384915.93249999994</v>
      </c>
      <c r="K712">
        <v>12</v>
      </c>
      <c r="L712" s="16">
        <f t="shared" si="46"/>
        <v>46189.911899999992</v>
      </c>
      <c r="M712">
        <v>0</v>
      </c>
      <c r="N712" s="16">
        <f t="shared" si="47"/>
        <v>0</v>
      </c>
    </row>
    <row r="713" spans="1:14" x14ac:dyDescent="0.25">
      <c r="A713" s="29">
        <v>48</v>
      </c>
      <c r="B713" t="s">
        <v>28</v>
      </c>
      <c r="C713" s="1" t="s">
        <v>29</v>
      </c>
      <c r="D713" t="s">
        <v>1212</v>
      </c>
      <c r="E713" t="s">
        <v>569</v>
      </c>
      <c r="F713">
        <v>1503.11</v>
      </c>
      <c r="G713">
        <v>288</v>
      </c>
      <c r="H713">
        <v>12987.390000000014</v>
      </c>
      <c r="I713" s="31">
        <f t="shared" si="48"/>
        <v>419908.29</v>
      </c>
      <c r="J713" s="16">
        <f t="shared" si="45"/>
        <v>384915.93249999994</v>
      </c>
      <c r="K713">
        <v>12</v>
      </c>
      <c r="L713" s="16">
        <f t="shared" si="46"/>
        <v>46189.911899999992</v>
      </c>
      <c r="M713">
        <v>0</v>
      </c>
      <c r="N713" s="16">
        <f t="shared" si="47"/>
        <v>0</v>
      </c>
    </row>
    <row r="714" spans="1:14" x14ac:dyDescent="0.25">
      <c r="A714" s="29">
        <v>48</v>
      </c>
      <c r="B714" t="s">
        <v>28</v>
      </c>
      <c r="C714" s="1" t="s">
        <v>29</v>
      </c>
      <c r="D714" t="s">
        <v>1279</v>
      </c>
      <c r="E714" t="s">
        <v>569</v>
      </c>
      <c r="F714">
        <v>1503.11</v>
      </c>
      <c r="G714">
        <v>720</v>
      </c>
      <c r="H714">
        <v>32466.670000000158</v>
      </c>
      <c r="I714" s="31">
        <f t="shared" si="48"/>
        <v>1049772.5299999998</v>
      </c>
      <c r="J714" s="16">
        <f t="shared" si="45"/>
        <v>962291.48583333311</v>
      </c>
      <c r="K714">
        <v>12</v>
      </c>
      <c r="L714" s="16">
        <f t="shared" si="46"/>
        <v>115474.97829999999</v>
      </c>
      <c r="M714">
        <v>0</v>
      </c>
      <c r="N714" s="16">
        <f t="shared" si="47"/>
        <v>0</v>
      </c>
    </row>
    <row r="715" spans="1:14" x14ac:dyDescent="0.25">
      <c r="A715" s="29">
        <v>48</v>
      </c>
      <c r="B715" t="s">
        <v>28</v>
      </c>
      <c r="C715" s="1" t="s">
        <v>29</v>
      </c>
      <c r="D715" t="s">
        <v>1213</v>
      </c>
      <c r="E715" t="s">
        <v>569</v>
      </c>
      <c r="F715">
        <v>1503.11</v>
      </c>
      <c r="G715">
        <v>288</v>
      </c>
      <c r="H715">
        <v>12987.390000000014</v>
      </c>
      <c r="I715" s="31">
        <f t="shared" si="48"/>
        <v>419908.29</v>
      </c>
      <c r="J715" s="16">
        <f t="shared" si="45"/>
        <v>384915.93249999994</v>
      </c>
      <c r="K715">
        <v>12</v>
      </c>
      <c r="L715" s="16">
        <f t="shared" si="46"/>
        <v>46189.911899999992</v>
      </c>
      <c r="M715">
        <v>0</v>
      </c>
      <c r="N715" s="16">
        <f t="shared" si="47"/>
        <v>0</v>
      </c>
    </row>
    <row r="716" spans="1:14" x14ac:dyDescent="0.25">
      <c r="A716" s="29">
        <v>48</v>
      </c>
      <c r="B716" t="s">
        <v>28</v>
      </c>
      <c r="C716" s="1" t="s">
        <v>29</v>
      </c>
      <c r="D716" t="s">
        <v>1214</v>
      </c>
      <c r="E716" t="s">
        <v>569</v>
      </c>
      <c r="F716">
        <v>2190.17</v>
      </c>
      <c r="G716">
        <v>720</v>
      </c>
      <c r="H716">
        <v>47308.10999999987</v>
      </c>
      <c r="I716" s="31">
        <f t="shared" si="48"/>
        <v>1529614.2900000003</v>
      </c>
      <c r="J716" s="16">
        <f t="shared" si="45"/>
        <v>1402146.4325000001</v>
      </c>
      <c r="K716">
        <v>12</v>
      </c>
      <c r="L716" s="16">
        <f t="shared" si="46"/>
        <v>168257.57190000001</v>
      </c>
      <c r="M716">
        <v>0</v>
      </c>
      <c r="N716" s="16">
        <f t="shared" si="47"/>
        <v>0</v>
      </c>
    </row>
    <row r="717" spans="1:14" x14ac:dyDescent="0.25">
      <c r="A717" s="29">
        <v>48</v>
      </c>
      <c r="B717" t="s">
        <v>28</v>
      </c>
      <c r="C717" s="1" t="s">
        <v>29</v>
      </c>
      <c r="D717" t="s">
        <v>1281</v>
      </c>
      <c r="E717" t="s">
        <v>569</v>
      </c>
      <c r="F717">
        <v>1503.11</v>
      </c>
      <c r="G717">
        <v>432</v>
      </c>
      <c r="H717">
        <v>19480.179999999935</v>
      </c>
      <c r="I717" s="31">
        <f t="shared" si="48"/>
        <v>629863.34</v>
      </c>
      <c r="J717" s="16">
        <f t="shared" si="45"/>
        <v>577374.72833333327</v>
      </c>
      <c r="K717">
        <v>12</v>
      </c>
      <c r="L717" s="16">
        <f t="shared" si="46"/>
        <v>69284.967399999994</v>
      </c>
      <c r="M717">
        <v>0</v>
      </c>
      <c r="N717" s="16">
        <f t="shared" si="47"/>
        <v>0</v>
      </c>
    </row>
    <row r="718" spans="1:14" x14ac:dyDescent="0.25">
      <c r="A718" s="29">
        <v>48</v>
      </c>
      <c r="B718" t="s">
        <v>28</v>
      </c>
      <c r="C718" s="1" t="s">
        <v>29</v>
      </c>
      <c r="D718" t="s">
        <v>1282</v>
      </c>
      <c r="E718" t="s">
        <v>569</v>
      </c>
      <c r="F718">
        <v>1503.11</v>
      </c>
      <c r="G718">
        <v>720</v>
      </c>
      <c r="H718">
        <v>32466.670000000158</v>
      </c>
      <c r="I718" s="31">
        <f t="shared" si="48"/>
        <v>1049772.5299999998</v>
      </c>
      <c r="J718" s="16">
        <f t="shared" si="45"/>
        <v>962291.48583333311</v>
      </c>
      <c r="K718">
        <v>12</v>
      </c>
      <c r="L718" s="16">
        <f t="shared" si="46"/>
        <v>115474.97829999999</v>
      </c>
      <c r="M718">
        <v>0</v>
      </c>
      <c r="N718" s="16">
        <f t="shared" si="47"/>
        <v>0</v>
      </c>
    </row>
    <row r="719" spans="1:14" x14ac:dyDescent="0.25">
      <c r="A719" s="29">
        <v>48</v>
      </c>
      <c r="B719" t="s">
        <v>28</v>
      </c>
      <c r="C719" s="1" t="s">
        <v>29</v>
      </c>
      <c r="D719" t="s">
        <v>1231</v>
      </c>
      <c r="E719" t="s">
        <v>569</v>
      </c>
      <c r="F719">
        <v>1503.11</v>
      </c>
      <c r="G719">
        <v>720</v>
      </c>
      <c r="H719">
        <v>32466.670000000158</v>
      </c>
      <c r="I719" s="31">
        <f t="shared" si="48"/>
        <v>1049772.5299999998</v>
      </c>
      <c r="J719" s="16">
        <f t="shared" si="45"/>
        <v>962291.48583333311</v>
      </c>
      <c r="K719">
        <v>12</v>
      </c>
      <c r="L719" s="16">
        <f t="shared" si="46"/>
        <v>115474.97829999999</v>
      </c>
      <c r="M719">
        <v>0</v>
      </c>
      <c r="N719" s="16">
        <f t="shared" si="47"/>
        <v>0</v>
      </c>
    </row>
    <row r="720" spans="1:14" x14ac:dyDescent="0.25">
      <c r="A720" s="29">
        <v>48</v>
      </c>
      <c r="B720" t="s">
        <v>28</v>
      </c>
      <c r="C720" s="1" t="s">
        <v>29</v>
      </c>
      <c r="D720" t="s">
        <v>1271</v>
      </c>
      <c r="E720" t="s">
        <v>569</v>
      </c>
      <c r="F720">
        <v>1503.11</v>
      </c>
      <c r="G720">
        <v>432</v>
      </c>
      <c r="H720">
        <v>19480.179999999935</v>
      </c>
      <c r="I720" s="31">
        <f t="shared" si="48"/>
        <v>629863.34</v>
      </c>
      <c r="J720" s="16">
        <f t="shared" si="45"/>
        <v>577374.72833333327</v>
      </c>
      <c r="K720">
        <v>12</v>
      </c>
      <c r="L720" s="16">
        <f t="shared" si="46"/>
        <v>69284.967399999994</v>
      </c>
      <c r="M720">
        <v>0</v>
      </c>
      <c r="N720" s="16">
        <f t="shared" si="47"/>
        <v>0</v>
      </c>
    </row>
    <row r="721" spans="1:14" x14ac:dyDescent="0.25">
      <c r="A721" s="29">
        <v>49</v>
      </c>
      <c r="B721" t="s">
        <v>28</v>
      </c>
      <c r="C721" s="1" t="s">
        <v>29</v>
      </c>
      <c r="D721" t="s">
        <v>1278</v>
      </c>
      <c r="E721" t="s">
        <v>569</v>
      </c>
      <c r="F721">
        <v>1503.1</v>
      </c>
      <c r="G721">
        <v>72</v>
      </c>
      <c r="H721">
        <v>3246.8499999999913</v>
      </c>
      <c r="I721" s="31">
        <f t="shared" si="48"/>
        <v>104976.35</v>
      </c>
      <c r="J721" s="16">
        <f t="shared" si="45"/>
        <v>96228.320833333331</v>
      </c>
      <c r="K721">
        <v>12</v>
      </c>
      <c r="L721" s="16">
        <f t="shared" si="46"/>
        <v>11547.398500000001</v>
      </c>
      <c r="M721">
        <v>0</v>
      </c>
      <c r="N721" s="16">
        <f t="shared" si="47"/>
        <v>0</v>
      </c>
    </row>
    <row r="722" spans="1:14" x14ac:dyDescent="0.25">
      <c r="A722" s="29">
        <v>49</v>
      </c>
      <c r="B722" t="s">
        <v>28</v>
      </c>
      <c r="C722" s="1" t="s">
        <v>29</v>
      </c>
      <c r="D722" t="s">
        <v>1279</v>
      </c>
      <c r="E722" t="s">
        <v>569</v>
      </c>
      <c r="F722">
        <v>1503.1</v>
      </c>
      <c r="G722">
        <v>72</v>
      </c>
      <c r="H722">
        <v>3246.8499999999913</v>
      </c>
      <c r="I722" s="31">
        <f t="shared" si="48"/>
        <v>104976.35</v>
      </c>
      <c r="J722" s="16">
        <f t="shared" si="45"/>
        <v>96228.320833333331</v>
      </c>
      <c r="K722">
        <v>12</v>
      </c>
      <c r="L722" s="16">
        <f t="shared" si="46"/>
        <v>11547.398500000001</v>
      </c>
      <c r="M722">
        <v>0</v>
      </c>
      <c r="N722" s="16">
        <f t="shared" si="47"/>
        <v>0</v>
      </c>
    </row>
    <row r="723" spans="1:14" x14ac:dyDescent="0.25">
      <c r="A723" s="29">
        <v>49</v>
      </c>
      <c r="B723" t="s">
        <v>28</v>
      </c>
      <c r="C723" s="1" t="s">
        <v>29</v>
      </c>
      <c r="D723" t="s">
        <v>1214</v>
      </c>
      <c r="E723" t="s">
        <v>569</v>
      </c>
      <c r="F723">
        <v>2190.17</v>
      </c>
      <c r="G723">
        <v>360</v>
      </c>
      <c r="H723">
        <v>23654.050000000047</v>
      </c>
      <c r="I723" s="31">
        <f t="shared" si="48"/>
        <v>764807.15</v>
      </c>
      <c r="J723" s="16">
        <f t="shared" si="45"/>
        <v>701073.22083333333</v>
      </c>
      <c r="K723">
        <v>12</v>
      </c>
      <c r="L723" s="16">
        <f t="shared" si="46"/>
        <v>84128.786500000002</v>
      </c>
      <c r="M723">
        <v>0</v>
      </c>
      <c r="N723" s="16">
        <f t="shared" si="47"/>
        <v>0</v>
      </c>
    </row>
    <row r="724" spans="1:14" x14ac:dyDescent="0.25">
      <c r="A724" s="29">
        <v>49</v>
      </c>
      <c r="B724" t="s">
        <v>28</v>
      </c>
      <c r="C724" s="1" t="s">
        <v>29</v>
      </c>
      <c r="D724" t="s">
        <v>1281</v>
      </c>
      <c r="E724" t="s">
        <v>569</v>
      </c>
      <c r="F724">
        <v>1503.1</v>
      </c>
      <c r="G724">
        <v>72</v>
      </c>
      <c r="H724">
        <v>3246.8499999999913</v>
      </c>
      <c r="I724" s="31">
        <f t="shared" si="48"/>
        <v>104976.35</v>
      </c>
      <c r="J724" s="16">
        <f t="shared" si="45"/>
        <v>96228.320833333331</v>
      </c>
      <c r="K724">
        <v>12</v>
      </c>
      <c r="L724" s="16">
        <f t="shared" si="46"/>
        <v>11547.398500000001</v>
      </c>
      <c r="M724">
        <v>0</v>
      </c>
      <c r="N724" s="16">
        <f t="shared" si="47"/>
        <v>0</v>
      </c>
    </row>
    <row r="725" spans="1:14" x14ac:dyDescent="0.25">
      <c r="A725" s="29">
        <v>49</v>
      </c>
      <c r="B725" t="s">
        <v>28</v>
      </c>
      <c r="C725" s="1" t="s">
        <v>29</v>
      </c>
      <c r="D725" t="s">
        <v>1216</v>
      </c>
      <c r="E725" t="s">
        <v>569</v>
      </c>
      <c r="F725">
        <v>7411.11</v>
      </c>
      <c r="G725">
        <v>12</v>
      </c>
      <c r="H725">
        <v>2667.570000000007</v>
      </c>
      <c r="I725" s="31">
        <f t="shared" si="48"/>
        <v>86265.749999999985</v>
      </c>
      <c r="J725" s="16">
        <f t="shared" si="45"/>
        <v>79076.937499999985</v>
      </c>
      <c r="K725">
        <v>12</v>
      </c>
      <c r="L725" s="16">
        <f t="shared" si="46"/>
        <v>9489.2324999999983</v>
      </c>
      <c r="M725">
        <v>0</v>
      </c>
      <c r="N725" s="16">
        <f t="shared" si="47"/>
        <v>0</v>
      </c>
    </row>
    <row r="726" spans="1:14" x14ac:dyDescent="0.25">
      <c r="A726" s="29">
        <v>49</v>
      </c>
      <c r="B726" t="s">
        <v>28</v>
      </c>
      <c r="C726" s="1" t="s">
        <v>29</v>
      </c>
      <c r="D726" t="s">
        <v>1218</v>
      </c>
      <c r="E726" t="s">
        <v>569</v>
      </c>
      <c r="F726">
        <v>7411.11</v>
      </c>
      <c r="G726">
        <v>36</v>
      </c>
      <c r="H726">
        <v>8003.6000000000058</v>
      </c>
      <c r="I726" s="31">
        <f t="shared" si="48"/>
        <v>258796.35999999996</v>
      </c>
      <c r="J726" s="16">
        <f t="shared" si="45"/>
        <v>237229.99666666662</v>
      </c>
      <c r="K726">
        <v>12</v>
      </c>
      <c r="L726" s="16">
        <f t="shared" si="46"/>
        <v>28467.599599999994</v>
      </c>
      <c r="M726">
        <v>0</v>
      </c>
      <c r="N726" s="16">
        <f t="shared" si="47"/>
        <v>0</v>
      </c>
    </row>
    <row r="727" spans="1:14" x14ac:dyDescent="0.25">
      <c r="A727" s="29">
        <v>49</v>
      </c>
      <c r="B727" t="s">
        <v>28</v>
      </c>
      <c r="C727" s="1" t="s">
        <v>29</v>
      </c>
      <c r="D727" t="s">
        <v>1219</v>
      </c>
      <c r="E727" t="s">
        <v>569</v>
      </c>
      <c r="F727">
        <v>7636.11</v>
      </c>
      <c r="G727">
        <v>36</v>
      </c>
      <c r="H727">
        <v>8246.8499999999767</v>
      </c>
      <c r="I727" s="31">
        <f t="shared" si="48"/>
        <v>266653.11</v>
      </c>
      <c r="J727" s="16">
        <f t="shared" si="45"/>
        <v>244432.01749999999</v>
      </c>
      <c r="K727">
        <v>12</v>
      </c>
      <c r="L727" s="16">
        <f t="shared" si="46"/>
        <v>29331.842099999998</v>
      </c>
      <c r="M727">
        <v>0</v>
      </c>
      <c r="N727" s="16">
        <f t="shared" si="47"/>
        <v>0</v>
      </c>
    </row>
    <row r="728" spans="1:14" x14ac:dyDescent="0.25">
      <c r="A728" s="29">
        <v>49</v>
      </c>
      <c r="B728" t="s">
        <v>28</v>
      </c>
      <c r="C728" s="1" t="s">
        <v>29</v>
      </c>
      <c r="D728" t="s">
        <v>1221</v>
      </c>
      <c r="E728" t="s">
        <v>569</v>
      </c>
      <c r="F728">
        <v>7411.11</v>
      </c>
      <c r="G728">
        <v>12</v>
      </c>
      <c r="H728">
        <v>2667.570000000007</v>
      </c>
      <c r="I728" s="31">
        <f t="shared" si="48"/>
        <v>86265.749999999985</v>
      </c>
      <c r="J728" s="16">
        <f t="shared" si="45"/>
        <v>79076.937499999985</v>
      </c>
      <c r="K728">
        <v>12</v>
      </c>
      <c r="L728" s="16">
        <f t="shared" si="46"/>
        <v>9489.2324999999983</v>
      </c>
      <c r="M728">
        <v>0</v>
      </c>
      <c r="N728" s="16">
        <f t="shared" si="47"/>
        <v>0</v>
      </c>
    </row>
    <row r="729" spans="1:14" x14ac:dyDescent="0.25">
      <c r="A729" s="29">
        <v>49</v>
      </c>
      <c r="B729" t="s">
        <v>28</v>
      </c>
      <c r="C729" s="1" t="s">
        <v>29</v>
      </c>
      <c r="D729" t="s">
        <v>1231</v>
      </c>
      <c r="E729" t="s">
        <v>569</v>
      </c>
      <c r="F729">
        <v>1503.11</v>
      </c>
      <c r="G729">
        <v>144</v>
      </c>
      <c r="H729">
        <v>6492.7900000000081</v>
      </c>
      <c r="I729" s="31">
        <f t="shared" si="48"/>
        <v>209955.05</v>
      </c>
      <c r="J729" s="16">
        <f t="shared" si="45"/>
        <v>192458.79583333331</v>
      </c>
      <c r="K729">
        <v>12</v>
      </c>
      <c r="L729" s="16">
        <f t="shared" si="46"/>
        <v>23095.055499999999</v>
      </c>
      <c r="M729">
        <v>0</v>
      </c>
      <c r="N729" s="16">
        <f t="shared" si="47"/>
        <v>0</v>
      </c>
    </row>
    <row r="730" spans="1:14" x14ac:dyDescent="0.25">
      <c r="A730" s="29">
        <v>49</v>
      </c>
      <c r="B730" t="s">
        <v>28</v>
      </c>
      <c r="C730" s="1" t="s">
        <v>29</v>
      </c>
      <c r="D730" t="s">
        <v>1271</v>
      </c>
      <c r="E730" t="s">
        <v>569</v>
      </c>
      <c r="F730">
        <v>1503.11</v>
      </c>
      <c r="G730">
        <v>144</v>
      </c>
      <c r="H730">
        <v>6492.7900000000081</v>
      </c>
      <c r="I730" s="31">
        <f t="shared" si="48"/>
        <v>209955.05</v>
      </c>
      <c r="J730" s="16">
        <f t="shared" si="45"/>
        <v>192458.79583333331</v>
      </c>
      <c r="K730">
        <v>12</v>
      </c>
      <c r="L730" s="16">
        <f t="shared" si="46"/>
        <v>23095.055499999999</v>
      </c>
      <c r="M730">
        <v>0</v>
      </c>
      <c r="N730" s="16">
        <f t="shared" si="47"/>
        <v>0</v>
      </c>
    </row>
    <row r="731" spans="1:14" x14ac:dyDescent="0.25">
      <c r="A731" s="29">
        <v>49</v>
      </c>
      <c r="B731" t="s">
        <v>28</v>
      </c>
      <c r="C731" s="1" t="s">
        <v>29</v>
      </c>
      <c r="D731" t="s">
        <v>1225</v>
      </c>
      <c r="E731" t="s">
        <v>569</v>
      </c>
      <c r="F731">
        <v>7636.11</v>
      </c>
      <c r="G731">
        <v>12</v>
      </c>
      <c r="H731">
        <v>2748.6500000000087</v>
      </c>
      <c r="I731" s="31">
        <f t="shared" si="48"/>
        <v>88884.669999999984</v>
      </c>
      <c r="J731" s="16">
        <f t="shared" si="45"/>
        <v>81477.614166666652</v>
      </c>
      <c r="K731">
        <v>12</v>
      </c>
      <c r="L731" s="16">
        <f t="shared" si="46"/>
        <v>9777.3136999999988</v>
      </c>
      <c r="M731">
        <v>0</v>
      </c>
      <c r="N731" s="16">
        <f t="shared" si="47"/>
        <v>0</v>
      </c>
    </row>
    <row r="732" spans="1:14" x14ac:dyDescent="0.25">
      <c r="A732" s="29">
        <v>49</v>
      </c>
      <c r="B732" t="s">
        <v>28</v>
      </c>
      <c r="C732" s="1" t="s">
        <v>29</v>
      </c>
      <c r="D732" t="s">
        <v>1226</v>
      </c>
      <c r="E732" t="s">
        <v>569</v>
      </c>
      <c r="F732">
        <v>7411.11</v>
      </c>
      <c r="G732">
        <v>12</v>
      </c>
      <c r="H732">
        <v>2667.570000000007</v>
      </c>
      <c r="I732" s="31">
        <f t="shared" si="48"/>
        <v>86265.749999999985</v>
      </c>
      <c r="J732" s="16">
        <f t="shared" si="45"/>
        <v>79076.937499999985</v>
      </c>
      <c r="K732">
        <v>12</v>
      </c>
      <c r="L732" s="16">
        <f t="shared" si="46"/>
        <v>9489.2324999999983</v>
      </c>
      <c r="M732">
        <v>0</v>
      </c>
      <c r="N732" s="16">
        <f t="shared" si="47"/>
        <v>0</v>
      </c>
    </row>
    <row r="733" spans="1:14" x14ac:dyDescent="0.25">
      <c r="A733" s="29">
        <v>49</v>
      </c>
      <c r="B733" t="s">
        <v>28</v>
      </c>
      <c r="C733" s="1" t="s">
        <v>29</v>
      </c>
      <c r="D733" t="s">
        <v>1227</v>
      </c>
      <c r="E733" t="s">
        <v>569</v>
      </c>
      <c r="F733">
        <v>7411.11</v>
      </c>
      <c r="G733">
        <v>12</v>
      </c>
      <c r="H733">
        <v>2667.570000000007</v>
      </c>
      <c r="I733" s="31">
        <f t="shared" si="48"/>
        <v>86265.749999999985</v>
      </c>
      <c r="J733" s="16">
        <f t="shared" si="45"/>
        <v>79076.937499999985</v>
      </c>
      <c r="K733">
        <v>12</v>
      </c>
      <c r="L733" s="16">
        <f t="shared" si="46"/>
        <v>9489.2324999999983</v>
      </c>
      <c r="M733">
        <v>0</v>
      </c>
      <c r="N733" s="16">
        <f t="shared" si="47"/>
        <v>0</v>
      </c>
    </row>
    <row r="734" spans="1:14" x14ac:dyDescent="0.25">
      <c r="A734" s="29">
        <v>50</v>
      </c>
      <c r="B734" t="s">
        <v>28</v>
      </c>
      <c r="C734" s="1" t="s">
        <v>29</v>
      </c>
      <c r="D734" t="s">
        <v>1365</v>
      </c>
      <c r="E734" t="s">
        <v>569</v>
      </c>
      <c r="F734">
        <v>12462.09</v>
      </c>
      <c r="G734">
        <v>24</v>
      </c>
      <c r="H734">
        <v>10467.570000000007</v>
      </c>
      <c r="I734" s="31">
        <f t="shared" si="48"/>
        <v>288622.59000000003</v>
      </c>
      <c r="J734" s="16">
        <f t="shared" si="45"/>
        <v>264570.70750000002</v>
      </c>
      <c r="K734">
        <v>12</v>
      </c>
      <c r="L734" s="16">
        <f t="shared" si="46"/>
        <v>31748.484900000003</v>
      </c>
      <c r="M734">
        <v>0</v>
      </c>
      <c r="N734" s="16">
        <f t="shared" si="47"/>
        <v>0</v>
      </c>
    </row>
    <row r="735" spans="1:14" x14ac:dyDescent="0.25">
      <c r="A735" s="29">
        <v>51</v>
      </c>
      <c r="B735" t="s">
        <v>28</v>
      </c>
      <c r="C735" s="1" t="s">
        <v>29</v>
      </c>
      <c r="D735" t="s">
        <v>1409</v>
      </c>
      <c r="E735" t="s">
        <v>569</v>
      </c>
      <c r="F735">
        <v>4612.54</v>
      </c>
      <c r="G735">
        <v>24</v>
      </c>
      <c r="H735">
        <v>3320.7200000000012</v>
      </c>
      <c r="I735" s="31">
        <f t="shared" si="48"/>
        <v>107380.23999999999</v>
      </c>
      <c r="J735" s="16">
        <f t="shared" si="45"/>
        <v>98431.886666666658</v>
      </c>
      <c r="K735">
        <v>12</v>
      </c>
      <c r="L735" s="16">
        <f t="shared" si="46"/>
        <v>11811.826399999998</v>
      </c>
      <c r="M735">
        <v>0</v>
      </c>
      <c r="N735" s="16">
        <f t="shared" si="47"/>
        <v>0</v>
      </c>
    </row>
    <row r="736" spans="1:14" x14ac:dyDescent="0.25">
      <c r="A736" s="29">
        <v>51</v>
      </c>
      <c r="B736" t="s">
        <v>28</v>
      </c>
      <c r="C736" s="1" t="s">
        <v>29</v>
      </c>
      <c r="D736" t="s">
        <v>1408</v>
      </c>
      <c r="E736" t="s">
        <v>569</v>
      </c>
      <c r="F736">
        <v>4612.54</v>
      </c>
      <c r="G736">
        <v>24</v>
      </c>
      <c r="H736">
        <v>3320.7200000000012</v>
      </c>
      <c r="I736" s="31">
        <f t="shared" si="48"/>
        <v>107380.23999999999</v>
      </c>
      <c r="J736" s="16">
        <f t="shared" si="45"/>
        <v>98431.886666666658</v>
      </c>
      <c r="K736">
        <v>12</v>
      </c>
      <c r="L736" s="16">
        <f t="shared" si="46"/>
        <v>11811.826399999998</v>
      </c>
      <c r="M736">
        <v>0</v>
      </c>
      <c r="N736" s="16">
        <f t="shared" si="47"/>
        <v>0</v>
      </c>
    </row>
    <row r="737" spans="1:14" x14ac:dyDescent="0.25">
      <c r="A737" s="29">
        <v>51</v>
      </c>
      <c r="B737" t="s">
        <v>28</v>
      </c>
      <c r="C737" s="1" t="s">
        <v>29</v>
      </c>
      <c r="D737" t="s">
        <v>1383</v>
      </c>
      <c r="E737" t="s">
        <v>569</v>
      </c>
      <c r="F737">
        <v>4612.54</v>
      </c>
      <c r="G737">
        <v>24</v>
      </c>
      <c r="H737">
        <v>3320.7200000000012</v>
      </c>
      <c r="I737" s="31">
        <f t="shared" si="48"/>
        <v>107380.23999999999</v>
      </c>
      <c r="J737" s="16">
        <f t="shared" si="45"/>
        <v>98431.886666666658</v>
      </c>
      <c r="K737">
        <v>12</v>
      </c>
      <c r="L737" s="16">
        <f t="shared" si="46"/>
        <v>11811.826399999998</v>
      </c>
      <c r="M737">
        <v>0</v>
      </c>
      <c r="N737" s="16">
        <f t="shared" si="47"/>
        <v>0</v>
      </c>
    </row>
    <row r="738" spans="1:14" x14ac:dyDescent="0.25">
      <c r="A738" s="29">
        <v>51</v>
      </c>
      <c r="B738" t="s">
        <v>28</v>
      </c>
      <c r="C738" s="1" t="s">
        <v>29</v>
      </c>
      <c r="D738" t="s">
        <v>1257</v>
      </c>
      <c r="E738" t="s">
        <v>569</v>
      </c>
      <c r="F738">
        <v>3752.73</v>
      </c>
      <c r="G738">
        <v>144</v>
      </c>
      <c r="H738">
        <v>16211.710000000021</v>
      </c>
      <c r="I738" s="31">
        <f t="shared" si="48"/>
        <v>524181.41</v>
      </c>
      <c r="J738" s="16">
        <f t="shared" si="45"/>
        <v>480499.6258333333</v>
      </c>
      <c r="K738">
        <v>12</v>
      </c>
      <c r="L738" s="16">
        <f t="shared" si="46"/>
        <v>57659.955099999999</v>
      </c>
      <c r="M738">
        <v>0</v>
      </c>
      <c r="N738" s="16">
        <f t="shared" si="47"/>
        <v>0</v>
      </c>
    </row>
    <row r="739" spans="1:14" x14ac:dyDescent="0.25">
      <c r="A739" s="29">
        <v>51</v>
      </c>
      <c r="B739" t="s">
        <v>28</v>
      </c>
      <c r="C739" s="1" t="s">
        <v>29</v>
      </c>
      <c r="D739" t="s">
        <v>1235</v>
      </c>
      <c r="E739" t="s">
        <v>569</v>
      </c>
      <c r="F739">
        <v>3752.73</v>
      </c>
      <c r="G739">
        <v>72</v>
      </c>
      <c r="H739">
        <v>8106.3100000000268</v>
      </c>
      <c r="I739" s="31">
        <f t="shared" si="48"/>
        <v>262090.24999999997</v>
      </c>
      <c r="J739" s="16">
        <f t="shared" si="45"/>
        <v>240249.39583333328</v>
      </c>
      <c r="K739">
        <v>12</v>
      </c>
      <c r="L739" s="16">
        <f t="shared" si="46"/>
        <v>28829.927499999994</v>
      </c>
      <c r="M739">
        <v>0</v>
      </c>
      <c r="N739" s="16">
        <f t="shared" si="47"/>
        <v>0</v>
      </c>
    </row>
    <row r="740" spans="1:14" x14ac:dyDescent="0.25">
      <c r="A740" s="29">
        <v>51</v>
      </c>
      <c r="B740" t="s">
        <v>28</v>
      </c>
      <c r="C740" s="1" t="s">
        <v>29</v>
      </c>
      <c r="D740" t="s">
        <v>1258</v>
      </c>
      <c r="E740" t="s">
        <v>569</v>
      </c>
      <c r="F740">
        <v>3752.73</v>
      </c>
      <c r="G740">
        <v>144</v>
      </c>
      <c r="H740">
        <v>16211.710000000021</v>
      </c>
      <c r="I740" s="31">
        <f t="shared" si="48"/>
        <v>524181.41</v>
      </c>
      <c r="J740" s="16">
        <f t="shared" si="45"/>
        <v>480499.6258333333</v>
      </c>
      <c r="K740">
        <v>12</v>
      </c>
      <c r="L740" s="16">
        <f t="shared" si="46"/>
        <v>57659.955099999999</v>
      </c>
      <c r="M740">
        <v>0</v>
      </c>
      <c r="N740" s="16">
        <f t="shared" si="47"/>
        <v>0</v>
      </c>
    </row>
    <row r="741" spans="1:14" x14ac:dyDescent="0.25">
      <c r="A741" s="29">
        <v>51</v>
      </c>
      <c r="B741" t="s">
        <v>28</v>
      </c>
      <c r="C741" s="1" t="s">
        <v>29</v>
      </c>
      <c r="D741" t="s">
        <v>1211</v>
      </c>
      <c r="E741" t="s">
        <v>569</v>
      </c>
      <c r="F741">
        <v>3752.73</v>
      </c>
      <c r="G741">
        <v>72</v>
      </c>
      <c r="H741">
        <v>8106.3100000000268</v>
      </c>
      <c r="I741" s="31">
        <f t="shared" si="48"/>
        <v>262090.24999999997</v>
      </c>
      <c r="J741" s="16">
        <f t="shared" si="45"/>
        <v>240249.39583333328</v>
      </c>
      <c r="K741">
        <v>12</v>
      </c>
      <c r="L741" s="16">
        <f t="shared" si="46"/>
        <v>28829.927499999994</v>
      </c>
      <c r="M741">
        <v>0</v>
      </c>
      <c r="N741" s="16">
        <f t="shared" si="47"/>
        <v>0</v>
      </c>
    </row>
    <row r="742" spans="1:14" x14ac:dyDescent="0.25">
      <c r="A742" s="29">
        <v>51</v>
      </c>
      <c r="B742" t="s">
        <v>28</v>
      </c>
      <c r="C742" s="1" t="s">
        <v>29</v>
      </c>
      <c r="D742" t="s">
        <v>1400</v>
      </c>
      <c r="E742" t="s">
        <v>569</v>
      </c>
      <c r="F742">
        <v>3752.73</v>
      </c>
      <c r="G742">
        <v>72</v>
      </c>
      <c r="H742">
        <v>8106.3100000000268</v>
      </c>
      <c r="I742" s="31">
        <f t="shared" si="48"/>
        <v>262090.24999999997</v>
      </c>
      <c r="J742" s="16">
        <f t="shared" si="45"/>
        <v>240249.39583333328</v>
      </c>
      <c r="K742">
        <v>12</v>
      </c>
      <c r="L742" s="16">
        <f t="shared" si="46"/>
        <v>28829.927499999994</v>
      </c>
      <c r="M742">
        <v>0</v>
      </c>
      <c r="N742" s="16">
        <f t="shared" si="47"/>
        <v>0</v>
      </c>
    </row>
    <row r="743" spans="1:14" x14ac:dyDescent="0.25">
      <c r="A743" s="29">
        <v>51</v>
      </c>
      <c r="B743" t="s">
        <v>28</v>
      </c>
      <c r="C743" s="1" t="s">
        <v>29</v>
      </c>
      <c r="D743" t="s">
        <v>1259</v>
      </c>
      <c r="E743" t="s">
        <v>569</v>
      </c>
      <c r="F743">
        <v>4571.63</v>
      </c>
      <c r="G743">
        <v>288</v>
      </c>
      <c r="H743">
        <v>39499.100000000093</v>
      </c>
      <c r="I743" s="31">
        <f t="shared" si="48"/>
        <v>1277130.3399999999</v>
      </c>
      <c r="J743" s="16">
        <f t="shared" si="45"/>
        <v>1170702.8116666665</v>
      </c>
      <c r="K743">
        <v>12</v>
      </c>
      <c r="L743" s="16">
        <f t="shared" si="46"/>
        <v>140484.33739999999</v>
      </c>
      <c r="M743">
        <v>0</v>
      </c>
      <c r="N743" s="16">
        <f t="shared" si="47"/>
        <v>0</v>
      </c>
    </row>
    <row r="744" spans="1:14" x14ac:dyDescent="0.25">
      <c r="A744" s="29">
        <v>51</v>
      </c>
      <c r="B744" t="s">
        <v>28</v>
      </c>
      <c r="C744" s="1" t="s">
        <v>29</v>
      </c>
      <c r="D744" t="s">
        <v>1260</v>
      </c>
      <c r="E744" t="s">
        <v>569</v>
      </c>
      <c r="F744">
        <v>3752.73</v>
      </c>
      <c r="G744">
        <v>144</v>
      </c>
      <c r="H744">
        <v>16211.710000000021</v>
      </c>
      <c r="I744" s="31">
        <f t="shared" si="48"/>
        <v>524181.41</v>
      </c>
      <c r="J744" s="16">
        <f t="shared" si="45"/>
        <v>480499.6258333333</v>
      </c>
      <c r="K744">
        <v>12</v>
      </c>
      <c r="L744" s="16">
        <f t="shared" si="46"/>
        <v>57659.955099999999</v>
      </c>
      <c r="M744">
        <v>0</v>
      </c>
      <c r="N744" s="16">
        <f t="shared" si="47"/>
        <v>0</v>
      </c>
    </row>
    <row r="745" spans="1:14" x14ac:dyDescent="0.25">
      <c r="A745" s="29">
        <v>51</v>
      </c>
      <c r="B745" t="s">
        <v>28</v>
      </c>
      <c r="C745" s="1" t="s">
        <v>29</v>
      </c>
      <c r="D745" t="s">
        <v>1236</v>
      </c>
      <c r="E745" t="s">
        <v>569</v>
      </c>
      <c r="F745">
        <v>3966.67</v>
      </c>
      <c r="G745">
        <v>36</v>
      </c>
      <c r="H745">
        <v>4283.7799999999988</v>
      </c>
      <c r="I745" s="31">
        <f t="shared" si="48"/>
        <v>138516.34</v>
      </c>
      <c r="J745" s="16">
        <f t="shared" si="45"/>
        <v>126973.31166666666</v>
      </c>
      <c r="K745">
        <v>12</v>
      </c>
      <c r="L745" s="16">
        <f t="shared" si="46"/>
        <v>15236.797399999999</v>
      </c>
      <c r="M745">
        <v>0</v>
      </c>
      <c r="N745" s="16">
        <f t="shared" si="47"/>
        <v>0</v>
      </c>
    </row>
    <row r="746" spans="1:14" x14ac:dyDescent="0.25">
      <c r="A746" s="29">
        <v>51</v>
      </c>
      <c r="B746" t="s">
        <v>28</v>
      </c>
      <c r="C746" s="1" t="s">
        <v>29</v>
      </c>
      <c r="D746" t="s">
        <v>1237</v>
      </c>
      <c r="E746" t="s">
        <v>569</v>
      </c>
      <c r="F746">
        <v>3966.67</v>
      </c>
      <c r="G746">
        <v>36</v>
      </c>
      <c r="H746">
        <v>4283.7799999999988</v>
      </c>
      <c r="I746" s="31">
        <f t="shared" si="48"/>
        <v>138516.34</v>
      </c>
      <c r="J746" s="16">
        <f t="shared" si="45"/>
        <v>126973.31166666666</v>
      </c>
      <c r="K746">
        <v>12</v>
      </c>
      <c r="L746" s="16">
        <f t="shared" si="46"/>
        <v>15236.797399999999</v>
      </c>
      <c r="M746">
        <v>0</v>
      </c>
      <c r="N746" s="16">
        <f t="shared" si="47"/>
        <v>0</v>
      </c>
    </row>
    <row r="747" spans="1:14" x14ac:dyDescent="0.25">
      <c r="A747" s="29">
        <v>51</v>
      </c>
      <c r="B747" t="s">
        <v>28</v>
      </c>
      <c r="C747" s="1" t="s">
        <v>29</v>
      </c>
      <c r="D747" t="s">
        <v>1277</v>
      </c>
      <c r="E747" t="s">
        <v>569</v>
      </c>
      <c r="F747">
        <v>1503.11</v>
      </c>
      <c r="G747">
        <v>288</v>
      </c>
      <c r="H747">
        <v>12987.390000000014</v>
      </c>
      <c r="I747" s="31">
        <f t="shared" si="48"/>
        <v>419908.29</v>
      </c>
      <c r="J747" s="16">
        <f t="shared" si="45"/>
        <v>384915.93249999994</v>
      </c>
      <c r="K747">
        <v>12</v>
      </c>
      <c r="L747" s="16">
        <f t="shared" si="46"/>
        <v>46189.911899999992</v>
      </c>
      <c r="M747">
        <v>0</v>
      </c>
      <c r="N747" s="16">
        <f t="shared" si="47"/>
        <v>0</v>
      </c>
    </row>
    <row r="748" spans="1:14" x14ac:dyDescent="0.25">
      <c r="A748" s="29">
        <v>51</v>
      </c>
      <c r="B748" t="s">
        <v>28</v>
      </c>
      <c r="C748" s="1" t="s">
        <v>29</v>
      </c>
      <c r="D748" t="s">
        <v>1212</v>
      </c>
      <c r="E748" t="s">
        <v>569</v>
      </c>
      <c r="F748">
        <v>1503.11</v>
      </c>
      <c r="G748">
        <v>288</v>
      </c>
      <c r="H748">
        <v>12987.390000000014</v>
      </c>
      <c r="I748" s="31">
        <f t="shared" si="48"/>
        <v>419908.29</v>
      </c>
      <c r="J748" s="16">
        <f t="shared" si="45"/>
        <v>384915.93249999994</v>
      </c>
      <c r="K748">
        <v>12</v>
      </c>
      <c r="L748" s="16">
        <f t="shared" si="46"/>
        <v>46189.911899999992</v>
      </c>
      <c r="M748">
        <v>0</v>
      </c>
      <c r="N748" s="16">
        <f t="shared" si="47"/>
        <v>0</v>
      </c>
    </row>
    <row r="749" spans="1:14" x14ac:dyDescent="0.25">
      <c r="A749" s="29">
        <v>51</v>
      </c>
      <c r="B749" t="s">
        <v>28</v>
      </c>
      <c r="C749" s="1" t="s">
        <v>29</v>
      </c>
      <c r="D749" t="s">
        <v>1279</v>
      </c>
      <c r="E749" t="s">
        <v>569</v>
      </c>
      <c r="F749">
        <v>1503.11</v>
      </c>
      <c r="G749">
        <v>288</v>
      </c>
      <c r="H749">
        <v>12987.390000000014</v>
      </c>
      <c r="I749" s="31">
        <f t="shared" si="48"/>
        <v>419908.29</v>
      </c>
      <c r="J749" s="16">
        <f t="shared" si="45"/>
        <v>384915.93249999994</v>
      </c>
      <c r="K749">
        <v>12</v>
      </c>
      <c r="L749" s="16">
        <f t="shared" si="46"/>
        <v>46189.911899999992</v>
      </c>
      <c r="M749">
        <v>0</v>
      </c>
      <c r="N749" s="16">
        <f t="shared" si="47"/>
        <v>0</v>
      </c>
    </row>
    <row r="750" spans="1:14" x14ac:dyDescent="0.25">
      <c r="A750" s="29">
        <v>51</v>
      </c>
      <c r="B750" t="s">
        <v>28</v>
      </c>
      <c r="C750" s="1" t="s">
        <v>29</v>
      </c>
      <c r="D750" t="s">
        <v>1213</v>
      </c>
      <c r="E750" t="s">
        <v>569</v>
      </c>
      <c r="F750">
        <v>1503.11</v>
      </c>
      <c r="G750">
        <v>288</v>
      </c>
      <c r="H750">
        <v>12987.390000000014</v>
      </c>
      <c r="I750" s="31">
        <f t="shared" si="48"/>
        <v>419908.29</v>
      </c>
      <c r="J750" s="16">
        <f t="shared" si="45"/>
        <v>384915.93249999994</v>
      </c>
      <c r="K750">
        <v>12</v>
      </c>
      <c r="L750" s="16">
        <f t="shared" si="46"/>
        <v>46189.911899999992</v>
      </c>
      <c r="M750">
        <v>0</v>
      </c>
      <c r="N750" s="16">
        <f t="shared" si="47"/>
        <v>0</v>
      </c>
    </row>
    <row r="751" spans="1:14" x14ac:dyDescent="0.25">
      <c r="A751" s="29">
        <v>51</v>
      </c>
      <c r="B751" t="s">
        <v>28</v>
      </c>
      <c r="C751" s="1" t="s">
        <v>29</v>
      </c>
      <c r="D751" t="s">
        <v>1280</v>
      </c>
      <c r="E751" t="s">
        <v>569</v>
      </c>
      <c r="F751">
        <v>1503.11</v>
      </c>
      <c r="G751">
        <v>144</v>
      </c>
      <c r="H751">
        <v>6492.7900000000081</v>
      </c>
      <c r="I751" s="31">
        <f t="shared" si="48"/>
        <v>209955.05</v>
      </c>
      <c r="J751" s="16">
        <f t="shared" si="45"/>
        <v>192458.79583333331</v>
      </c>
      <c r="K751">
        <v>12</v>
      </c>
      <c r="L751" s="16">
        <f t="shared" si="46"/>
        <v>23095.055499999999</v>
      </c>
      <c r="M751">
        <v>0</v>
      </c>
      <c r="N751" s="16">
        <f t="shared" si="47"/>
        <v>0</v>
      </c>
    </row>
    <row r="752" spans="1:14" x14ac:dyDescent="0.25">
      <c r="A752" s="29">
        <v>51</v>
      </c>
      <c r="B752" t="s">
        <v>28</v>
      </c>
      <c r="C752" s="1" t="s">
        <v>29</v>
      </c>
      <c r="D752" t="s">
        <v>1214</v>
      </c>
      <c r="E752" t="s">
        <v>569</v>
      </c>
      <c r="F752">
        <v>2190.17</v>
      </c>
      <c r="G752">
        <v>288</v>
      </c>
      <c r="H752">
        <v>18923.420000000042</v>
      </c>
      <c r="I752" s="31">
        <f t="shared" si="48"/>
        <v>611845.53999999992</v>
      </c>
      <c r="J752" s="16">
        <f t="shared" si="45"/>
        <v>560858.41166666662</v>
      </c>
      <c r="K752">
        <v>12</v>
      </c>
      <c r="L752" s="16">
        <f t="shared" si="46"/>
        <v>67303.009399999995</v>
      </c>
      <c r="M752">
        <v>0</v>
      </c>
      <c r="N752" s="16">
        <f t="shared" si="47"/>
        <v>0</v>
      </c>
    </row>
    <row r="753" spans="1:14" x14ac:dyDescent="0.25">
      <c r="A753" s="29">
        <v>51</v>
      </c>
      <c r="B753" t="s">
        <v>28</v>
      </c>
      <c r="C753" s="1" t="s">
        <v>29</v>
      </c>
      <c r="D753" t="s">
        <v>1281</v>
      </c>
      <c r="E753" t="s">
        <v>569</v>
      </c>
      <c r="F753">
        <v>1503.11</v>
      </c>
      <c r="G753">
        <v>288</v>
      </c>
      <c r="H753">
        <v>12987.390000000014</v>
      </c>
      <c r="I753" s="31">
        <f t="shared" si="48"/>
        <v>419908.29</v>
      </c>
      <c r="J753" s="16">
        <f t="shared" si="45"/>
        <v>384915.93249999994</v>
      </c>
      <c r="K753">
        <v>12</v>
      </c>
      <c r="L753" s="16">
        <f t="shared" si="46"/>
        <v>46189.911899999992</v>
      </c>
      <c r="M753">
        <v>0</v>
      </c>
      <c r="N753" s="16">
        <f t="shared" si="47"/>
        <v>0</v>
      </c>
    </row>
    <row r="754" spans="1:14" x14ac:dyDescent="0.25">
      <c r="A754" s="29">
        <v>51</v>
      </c>
      <c r="B754" t="s">
        <v>28</v>
      </c>
      <c r="C754" s="1" t="s">
        <v>29</v>
      </c>
      <c r="D754" t="s">
        <v>1215</v>
      </c>
      <c r="E754" t="s">
        <v>569</v>
      </c>
      <c r="F754">
        <v>1503.11</v>
      </c>
      <c r="G754">
        <v>288</v>
      </c>
      <c r="H754">
        <v>12987.390000000014</v>
      </c>
      <c r="I754" s="31">
        <f t="shared" si="48"/>
        <v>419908.29</v>
      </c>
      <c r="J754" s="16">
        <f t="shared" si="45"/>
        <v>384915.93249999994</v>
      </c>
      <c r="K754">
        <v>12</v>
      </c>
      <c r="L754" s="16">
        <f t="shared" si="46"/>
        <v>46189.911899999992</v>
      </c>
      <c r="M754">
        <v>0</v>
      </c>
      <c r="N754" s="16">
        <f t="shared" si="47"/>
        <v>0</v>
      </c>
    </row>
    <row r="755" spans="1:14" x14ac:dyDescent="0.25">
      <c r="A755" s="29">
        <v>51</v>
      </c>
      <c r="B755" t="s">
        <v>28</v>
      </c>
      <c r="C755" s="1" t="s">
        <v>29</v>
      </c>
      <c r="D755" t="s">
        <v>1403</v>
      </c>
      <c r="E755" t="s">
        <v>569</v>
      </c>
      <c r="F755">
        <v>4709.01</v>
      </c>
      <c r="G755">
        <v>12</v>
      </c>
      <c r="H755">
        <v>1694.5900000000038</v>
      </c>
      <c r="I755" s="31">
        <f t="shared" si="48"/>
        <v>54813.53</v>
      </c>
      <c r="J755" s="16">
        <f t="shared" si="45"/>
        <v>50245.735833333332</v>
      </c>
      <c r="K755">
        <v>12</v>
      </c>
      <c r="L755" s="16">
        <f t="shared" si="46"/>
        <v>6029.4883</v>
      </c>
      <c r="M755">
        <v>0</v>
      </c>
      <c r="N755" s="16">
        <f t="shared" si="47"/>
        <v>0</v>
      </c>
    </row>
    <row r="756" spans="1:14" x14ac:dyDescent="0.25">
      <c r="A756" s="29">
        <v>51</v>
      </c>
      <c r="B756" t="s">
        <v>28</v>
      </c>
      <c r="C756" s="1" t="s">
        <v>29</v>
      </c>
      <c r="D756" t="s">
        <v>1314</v>
      </c>
      <c r="E756" t="s">
        <v>569</v>
      </c>
      <c r="F756">
        <v>956.17</v>
      </c>
      <c r="G756">
        <v>100</v>
      </c>
      <c r="H756">
        <v>2869.3699999999953</v>
      </c>
      <c r="I756" s="31">
        <f t="shared" si="48"/>
        <v>92747.63</v>
      </c>
      <c r="J756" s="16">
        <f t="shared" si="45"/>
        <v>85018.660833333328</v>
      </c>
      <c r="K756">
        <v>12</v>
      </c>
      <c r="L756" s="16">
        <f t="shared" si="46"/>
        <v>10202.239299999999</v>
      </c>
      <c r="M756">
        <v>0</v>
      </c>
      <c r="N756" s="16">
        <f t="shared" si="47"/>
        <v>0</v>
      </c>
    </row>
    <row r="757" spans="1:14" x14ac:dyDescent="0.25">
      <c r="A757" s="29">
        <v>51</v>
      </c>
      <c r="B757" t="s">
        <v>28</v>
      </c>
      <c r="C757" s="1" t="s">
        <v>29</v>
      </c>
      <c r="D757" t="s">
        <v>1238</v>
      </c>
      <c r="E757" t="s">
        <v>569</v>
      </c>
      <c r="F757">
        <v>956.17</v>
      </c>
      <c r="G757">
        <v>100</v>
      </c>
      <c r="H757">
        <v>2869.3699999999953</v>
      </c>
      <c r="I757" s="31">
        <f t="shared" si="48"/>
        <v>92747.63</v>
      </c>
      <c r="J757" s="16">
        <f t="shared" si="45"/>
        <v>85018.660833333328</v>
      </c>
      <c r="K757">
        <v>12</v>
      </c>
      <c r="L757" s="16">
        <f t="shared" si="46"/>
        <v>10202.239299999999</v>
      </c>
      <c r="M757">
        <v>0</v>
      </c>
      <c r="N757" s="16">
        <f t="shared" si="47"/>
        <v>0</v>
      </c>
    </row>
    <row r="758" spans="1:14" x14ac:dyDescent="0.25">
      <c r="A758" s="29">
        <v>51</v>
      </c>
      <c r="B758" t="s">
        <v>28</v>
      </c>
      <c r="C758" s="1" t="s">
        <v>29</v>
      </c>
      <c r="D758" t="s">
        <v>1262</v>
      </c>
      <c r="E758" t="s">
        <v>569</v>
      </c>
      <c r="F758">
        <v>956.17</v>
      </c>
      <c r="G758">
        <v>100</v>
      </c>
      <c r="H758">
        <v>2869.3699999999953</v>
      </c>
      <c r="I758" s="31">
        <f t="shared" si="48"/>
        <v>92747.63</v>
      </c>
      <c r="J758" s="16">
        <f t="shared" si="45"/>
        <v>85018.660833333328</v>
      </c>
      <c r="K758">
        <v>12</v>
      </c>
      <c r="L758" s="16">
        <f t="shared" si="46"/>
        <v>10202.239299999999</v>
      </c>
      <c r="M758">
        <v>0</v>
      </c>
      <c r="N758" s="16">
        <f t="shared" si="47"/>
        <v>0</v>
      </c>
    </row>
    <row r="759" spans="1:14" x14ac:dyDescent="0.25">
      <c r="A759" s="29">
        <v>51</v>
      </c>
      <c r="B759" t="s">
        <v>28</v>
      </c>
      <c r="C759" s="1" t="s">
        <v>29</v>
      </c>
      <c r="D759" t="s">
        <v>1239</v>
      </c>
      <c r="E759" t="s">
        <v>569</v>
      </c>
      <c r="F759">
        <v>956.17</v>
      </c>
      <c r="G759">
        <v>250</v>
      </c>
      <c r="H759">
        <v>7171.1699999999837</v>
      </c>
      <c r="I759" s="31">
        <f t="shared" si="48"/>
        <v>231871.33000000002</v>
      </c>
      <c r="J759" s="16">
        <f t="shared" si="45"/>
        <v>212548.71916666668</v>
      </c>
      <c r="K759">
        <v>12</v>
      </c>
      <c r="L759" s="16">
        <f t="shared" si="46"/>
        <v>25505.846299999997</v>
      </c>
      <c r="M759">
        <v>0</v>
      </c>
      <c r="N759" s="16">
        <f t="shared" si="47"/>
        <v>0</v>
      </c>
    </row>
    <row r="760" spans="1:14" x14ac:dyDescent="0.25">
      <c r="A760" s="29">
        <v>51</v>
      </c>
      <c r="B760" t="s">
        <v>28</v>
      </c>
      <c r="C760" s="1" t="s">
        <v>29</v>
      </c>
      <c r="D760" t="s">
        <v>1323</v>
      </c>
      <c r="E760" t="s">
        <v>569</v>
      </c>
      <c r="F760">
        <v>956.17</v>
      </c>
      <c r="G760">
        <v>100</v>
      </c>
      <c r="H760">
        <v>2869.3699999999953</v>
      </c>
      <c r="I760" s="31">
        <f t="shared" si="48"/>
        <v>92747.63</v>
      </c>
      <c r="J760" s="16">
        <f t="shared" si="45"/>
        <v>85018.660833333328</v>
      </c>
      <c r="K760">
        <v>12</v>
      </c>
      <c r="L760" s="16">
        <f t="shared" si="46"/>
        <v>10202.239299999999</v>
      </c>
      <c r="M760">
        <v>0</v>
      </c>
      <c r="N760" s="16">
        <f t="shared" si="47"/>
        <v>0</v>
      </c>
    </row>
    <row r="761" spans="1:14" x14ac:dyDescent="0.25">
      <c r="A761" s="29">
        <v>51</v>
      </c>
      <c r="B761" t="s">
        <v>28</v>
      </c>
      <c r="C761" s="1" t="s">
        <v>29</v>
      </c>
      <c r="D761" t="s">
        <v>1240</v>
      </c>
      <c r="E761" t="s">
        <v>569</v>
      </c>
      <c r="F761">
        <v>956.17</v>
      </c>
      <c r="G761">
        <v>100</v>
      </c>
      <c r="H761">
        <v>2869.3699999999953</v>
      </c>
      <c r="I761" s="31">
        <f t="shared" si="48"/>
        <v>92747.63</v>
      </c>
      <c r="J761" s="16">
        <f t="shared" ref="J761:J824" si="49">11/12*I761</f>
        <v>85018.660833333328</v>
      </c>
      <c r="K761">
        <v>12</v>
      </c>
      <c r="L761" s="16">
        <f t="shared" ref="L761:L824" si="50">J761*K761/100</f>
        <v>10202.239299999999</v>
      </c>
      <c r="M761">
        <v>0</v>
      </c>
      <c r="N761" s="16">
        <f t="shared" ref="N761:N824" si="51">M761*J761/100</f>
        <v>0</v>
      </c>
    </row>
    <row r="762" spans="1:14" x14ac:dyDescent="0.25">
      <c r="A762" s="29">
        <v>51</v>
      </c>
      <c r="B762" t="s">
        <v>28</v>
      </c>
      <c r="C762" s="1" t="s">
        <v>29</v>
      </c>
      <c r="D762" t="s">
        <v>1315</v>
      </c>
      <c r="E762" t="s">
        <v>569</v>
      </c>
      <c r="F762">
        <v>956.17</v>
      </c>
      <c r="G762">
        <v>100</v>
      </c>
      <c r="H762">
        <v>2869.3699999999953</v>
      </c>
      <c r="I762" s="31">
        <f t="shared" si="48"/>
        <v>92747.63</v>
      </c>
      <c r="J762" s="16">
        <f t="shared" si="49"/>
        <v>85018.660833333328</v>
      </c>
      <c r="K762">
        <v>12</v>
      </c>
      <c r="L762" s="16">
        <f t="shared" si="50"/>
        <v>10202.239299999999</v>
      </c>
      <c r="M762">
        <v>0</v>
      </c>
      <c r="N762" s="16">
        <f t="shared" si="51"/>
        <v>0</v>
      </c>
    </row>
    <row r="763" spans="1:14" x14ac:dyDescent="0.25">
      <c r="A763" s="29">
        <v>51</v>
      </c>
      <c r="B763" t="s">
        <v>28</v>
      </c>
      <c r="C763" s="1" t="s">
        <v>29</v>
      </c>
      <c r="D763" t="s">
        <v>1243</v>
      </c>
      <c r="E763" t="s">
        <v>569</v>
      </c>
      <c r="F763">
        <v>956.17</v>
      </c>
      <c r="G763">
        <v>100</v>
      </c>
      <c r="H763">
        <v>2869.3699999999953</v>
      </c>
      <c r="I763" s="31">
        <f t="shared" si="48"/>
        <v>92747.63</v>
      </c>
      <c r="J763" s="16">
        <f t="shared" si="49"/>
        <v>85018.660833333328</v>
      </c>
      <c r="K763">
        <v>12</v>
      </c>
      <c r="L763" s="16">
        <f t="shared" si="50"/>
        <v>10202.239299999999</v>
      </c>
      <c r="M763">
        <v>0</v>
      </c>
      <c r="N763" s="16">
        <f t="shared" si="51"/>
        <v>0</v>
      </c>
    </row>
    <row r="764" spans="1:14" x14ac:dyDescent="0.25">
      <c r="A764" s="29">
        <v>51</v>
      </c>
      <c r="B764" t="s">
        <v>28</v>
      </c>
      <c r="C764" s="1" t="s">
        <v>29</v>
      </c>
      <c r="D764" t="s">
        <v>1244</v>
      </c>
      <c r="E764" t="s">
        <v>569</v>
      </c>
      <c r="F764">
        <v>956.17</v>
      </c>
      <c r="G764">
        <v>100</v>
      </c>
      <c r="H764">
        <v>2869.3699999999953</v>
      </c>
      <c r="I764" s="31">
        <f t="shared" si="48"/>
        <v>92747.63</v>
      </c>
      <c r="J764" s="16">
        <f t="shared" si="49"/>
        <v>85018.660833333328</v>
      </c>
      <c r="K764">
        <v>12</v>
      </c>
      <c r="L764" s="16">
        <f t="shared" si="50"/>
        <v>10202.239299999999</v>
      </c>
      <c r="M764">
        <v>0</v>
      </c>
      <c r="N764" s="16">
        <f t="shared" si="51"/>
        <v>0</v>
      </c>
    </row>
    <row r="765" spans="1:14" x14ac:dyDescent="0.25">
      <c r="A765" s="29">
        <v>51</v>
      </c>
      <c r="B765" t="s">
        <v>28</v>
      </c>
      <c r="C765" s="1" t="s">
        <v>29</v>
      </c>
      <c r="D765" t="s">
        <v>1245</v>
      </c>
      <c r="E765" t="s">
        <v>569</v>
      </c>
      <c r="F765">
        <v>956.17</v>
      </c>
      <c r="G765">
        <v>100</v>
      </c>
      <c r="H765">
        <v>2869.3699999999953</v>
      </c>
      <c r="I765" s="31">
        <f t="shared" si="48"/>
        <v>92747.63</v>
      </c>
      <c r="J765" s="16">
        <f t="shared" si="49"/>
        <v>85018.660833333328</v>
      </c>
      <c r="K765">
        <v>12</v>
      </c>
      <c r="L765" s="16">
        <f t="shared" si="50"/>
        <v>10202.239299999999</v>
      </c>
      <c r="M765">
        <v>0</v>
      </c>
      <c r="N765" s="16">
        <f t="shared" si="51"/>
        <v>0</v>
      </c>
    </row>
    <row r="766" spans="1:14" x14ac:dyDescent="0.25">
      <c r="A766" s="29">
        <v>51</v>
      </c>
      <c r="B766" t="s">
        <v>28</v>
      </c>
      <c r="C766" s="1" t="s">
        <v>29</v>
      </c>
      <c r="D766" t="s">
        <v>1418</v>
      </c>
      <c r="E766" t="s">
        <v>569</v>
      </c>
      <c r="F766">
        <v>257.52</v>
      </c>
      <c r="G766">
        <v>240</v>
      </c>
      <c r="H766">
        <v>1854.0500000000029</v>
      </c>
      <c r="I766" s="31">
        <f t="shared" si="48"/>
        <v>59950.749999999993</v>
      </c>
      <c r="J766" s="16">
        <f t="shared" si="49"/>
        <v>54954.854166666657</v>
      </c>
      <c r="K766">
        <v>12</v>
      </c>
      <c r="L766" s="16">
        <f t="shared" si="50"/>
        <v>6594.5824999999986</v>
      </c>
      <c r="M766">
        <v>0</v>
      </c>
      <c r="N766" s="16">
        <f t="shared" si="51"/>
        <v>0</v>
      </c>
    </row>
    <row r="767" spans="1:14" x14ac:dyDescent="0.25">
      <c r="A767" s="29">
        <v>51</v>
      </c>
      <c r="B767" t="s">
        <v>28</v>
      </c>
      <c r="C767" s="1" t="s">
        <v>29</v>
      </c>
      <c r="D767" t="s">
        <v>1263</v>
      </c>
      <c r="E767" t="s">
        <v>569</v>
      </c>
      <c r="F767">
        <v>257.52</v>
      </c>
      <c r="G767">
        <v>240</v>
      </c>
      <c r="H767">
        <v>1854.0500000000029</v>
      </c>
      <c r="I767" s="31">
        <f t="shared" si="48"/>
        <v>59950.749999999993</v>
      </c>
      <c r="J767" s="16">
        <f t="shared" si="49"/>
        <v>54954.854166666657</v>
      </c>
      <c r="K767">
        <v>12</v>
      </c>
      <c r="L767" s="16">
        <f t="shared" si="50"/>
        <v>6594.5824999999986</v>
      </c>
      <c r="M767">
        <v>0</v>
      </c>
      <c r="N767" s="16">
        <f t="shared" si="51"/>
        <v>0</v>
      </c>
    </row>
    <row r="768" spans="1:14" x14ac:dyDescent="0.25">
      <c r="A768" s="29">
        <v>51</v>
      </c>
      <c r="B768" t="s">
        <v>28</v>
      </c>
      <c r="C768" s="1" t="s">
        <v>29</v>
      </c>
      <c r="D768" t="s">
        <v>1303</v>
      </c>
      <c r="E768" t="s">
        <v>569</v>
      </c>
      <c r="F768">
        <v>3669.96</v>
      </c>
      <c r="G768">
        <v>72</v>
      </c>
      <c r="H768">
        <v>7927.0299999999988</v>
      </c>
      <c r="I768" s="31">
        <f t="shared" si="48"/>
        <v>256310.09</v>
      </c>
      <c r="J768" s="16">
        <f t="shared" si="49"/>
        <v>234950.91583333333</v>
      </c>
      <c r="K768">
        <v>12</v>
      </c>
      <c r="L768" s="16">
        <f t="shared" si="50"/>
        <v>28194.109900000003</v>
      </c>
      <c r="M768">
        <v>0</v>
      </c>
      <c r="N768" s="16">
        <f t="shared" si="51"/>
        <v>0</v>
      </c>
    </row>
    <row r="769" spans="1:14" x14ac:dyDescent="0.25">
      <c r="A769" s="29">
        <v>51</v>
      </c>
      <c r="B769" t="s">
        <v>28</v>
      </c>
      <c r="C769" s="1" t="s">
        <v>29</v>
      </c>
      <c r="D769" t="s">
        <v>1216</v>
      </c>
      <c r="E769" t="s">
        <v>569</v>
      </c>
      <c r="F769">
        <v>7411.11</v>
      </c>
      <c r="G769">
        <v>36</v>
      </c>
      <c r="H769">
        <v>8003.6000000000058</v>
      </c>
      <c r="I769" s="31">
        <f t="shared" si="48"/>
        <v>258796.35999999996</v>
      </c>
      <c r="J769" s="16">
        <f t="shared" si="49"/>
        <v>237229.99666666662</v>
      </c>
      <c r="K769">
        <v>12</v>
      </c>
      <c r="L769" s="16">
        <f t="shared" si="50"/>
        <v>28467.599599999994</v>
      </c>
      <c r="M769">
        <v>0</v>
      </c>
      <c r="N769" s="16">
        <f t="shared" si="51"/>
        <v>0</v>
      </c>
    </row>
    <row r="770" spans="1:14" x14ac:dyDescent="0.25">
      <c r="A770" s="29">
        <v>51</v>
      </c>
      <c r="B770" t="s">
        <v>28</v>
      </c>
      <c r="C770" s="1" t="s">
        <v>29</v>
      </c>
      <c r="D770" t="s">
        <v>1217</v>
      </c>
      <c r="E770" t="s">
        <v>569</v>
      </c>
      <c r="F770">
        <v>7411.11</v>
      </c>
      <c r="G770">
        <v>36</v>
      </c>
      <c r="H770">
        <v>8003.6000000000058</v>
      </c>
      <c r="I770" s="31">
        <f t="shared" si="48"/>
        <v>258796.35999999996</v>
      </c>
      <c r="J770" s="16">
        <f t="shared" si="49"/>
        <v>237229.99666666662</v>
      </c>
      <c r="K770">
        <v>12</v>
      </c>
      <c r="L770" s="16">
        <f t="shared" si="50"/>
        <v>28467.599599999994</v>
      </c>
      <c r="M770">
        <v>0</v>
      </c>
      <c r="N770" s="16">
        <f t="shared" si="51"/>
        <v>0</v>
      </c>
    </row>
    <row r="771" spans="1:14" x14ac:dyDescent="0.25">
      <c r="A771" s="29">
        <v>51</v>
      </c>
      <c r="B771" t="s">
        <v>28</v>
      </c>
      <c r="C771" s="1" t="s">
        <v>29</v>
      </c>
      <c r="D771" t="s">
        <v>1218</v>
      </c>
      <c r="E771" t="s">
        <v>569</v>
      </c>
      <c r="F771">
        <v>7411.11</v>
      </c>
      <c r="G771">
        <v>108</v>
      </c>
      <c r="H771">
        <v>24011.709999999963</v>
      </c>
      <c r="I771" s="31">
        <f t="shared" ref="I771:I834" si="52">G771*F771-H771</f>
        <v>776388.17</v>
      </c>
      <c r="J771" s="16">
        <f t="shared" si="49"/>
        <v>711689.15583333338</v>
      </c>
      <c r="K771">
        <v>12</v>
      </c>
      <c r="L771" s="16">
        <f t="shared" si="50"/>
        <v>85402.698700000008</v>
      </c>
      <c r="M771">
        <v>0</v>
      </c>
      <c r="N771" s="16">
        <f t="shared" si="51"/>
        <v>0</v>
      </c>
    </row>
    <row r="772" spans="1:14" x14ac:dyDescent="0.25">
      <c r="A772" s="29">
        <v>51</v>
      </c>
      <c r="B772" t="s">
        <v>28</v>
      </c>
      <c r="C772" s="1" t="s">
        <v>29</v>
      </c>
      <c r="D772" t="s">
        <v>1219</v>
      </c>
      <c r="E772" t="s">
        <v>569</v>
      </c>
      <c r="F772">
        <v>7636.11</v>
      </c>
      <c r="G772">
        <v>108</v>
      </c>
      <c r="H772">
        <v>24741.439999999944</v>
      </c>
      <c r="I772" s="31">
        <f t="shared" si="52"/>
        <v>799958.44000000006</v>
      </c>
      <c r="J772" s="16">
        <f t="shared" si="49"/>
        <v>733295.23666666669</v>
      </c>
      <c r="K772">
        <v>12</v>
      </c>
      <c r="L772" s="16">
        <f t="shared" si="50"/>
        <v>87995.428400000004</v>
      </c>
      <c r="M772">
        <v>0</v>
      </c>
      <c r="N772" s="16">
        <f t="shared" si="51"/>
        <v>0</v>
      </c>
    </row>
    <row r="773" spans="1:14" x14ac:dyDescent="0.25">
      <c r="A773" s="29">
        <v>51</v>
      </c>
      <c r="B773" t="s">
        <v>28</v>
      </c>
      <c r="C773" s="1" t="s">
        <v>29</v>
      </c>
      <c r="D773" t="s">
        <v>1220</v>
      </c>
      <c r="E773" t="s">
        <v>569</v>
      </c>
      <c r="F773">
        <v>7411.11</v>
      </c>
      <c r="G773">
        <v>36</v>
      </c>
      <c r="H773">
        <v>8003.6000000000058</v>
      </c>
      <c r="I773" s="31">
        <f t="shared" si="52"/>
        <v>258796.35999999996</v>
      </c>
      <c r="J773" s="16">
        <f t="shared" si="49"/>
        <v>237229.99666666662</v>
      </c>
      <c r="K773">
        <v>12</v>
      </c>
      <c r="L773" s="16">
        <f t="shared" si="50"/>
        <v>28467.599599999994</v>
      </c>
      <c r="M773">
        <v>0</v>
      </c>
      <c r="N773" s="16">
        <f t="shared" si="51"/>
        <v>0</v>
      </c>
    </row>
    <row r="774" spans="1:14" x14ac:dyDescent="0.25">
      <c r="A774" s="29">
        <v>51</v>
      </c>
      <c r="B774" t="s">
        <v>28</v>
      </c>
      <c r="C774" s="1" t="s">
        <v>29</v>
      </c>
      <c r="D774" t="s">
        <v>1221</v>
      </c>
      <c r="E774" t="s">
        <v>569</v>
      </c>
      <c r="F774">
        <v>7411.11</v>
      </c>
      <c r="G774">
        <v>36</v>
      </c>
      <c r="H774">
        <v>8003.6000000000058</v>
      </c>
      <c r="I774" s="31">
        <f t="shared" si="52"/>
        <v>258796.35999999996</v>
      </c>
      <c r="J774" s="16">
        <f t="shared" si="49"/>
        <v>237229.99666666662</v>
      </c>
      <c r="K774">
        <v>12</v>
      </c>
      <c r="L774" s="16">
        <f t="shared" si="50"/>
        <v>28467.599599999994</v>
      </c>
      <c r="M774">
        <v>0</v>
      </c>
      <c r="N774" s="16">
        <f t="shared" si="51"/>
        <v>0</v>
      </c>
    </row>
    <row r="775" spans="1:14" x14ac:dyDescent="0.25">
      <c r="A775" s="29">
        <v>51</v>
      </c>
      <c r="B775" t="s">
        <v>28</v>
      </c>
      <c r="C775" s="1" t="s">
        <v>29</v>
      </c>
      <c r="D775" t="s">
        <v>1247</v>
      </c>
      <c r="E775" t="s">
        <v>569</v>
      </c>
      <c r="F775">
        <v>974.43</v>
      </c>
      <c r="G775">
        <v>500</v>
      </c>
      <c r="H775">
        <v>14616.219999999972</v>
      </c>
      <c r="I775" s="31">
        <f t="shared" si="52"/>
        <v>472598.78</v>
      </c>
      <c r="J775" s="16">
        <f t="shared" si="49"/>
        <v>433215.54833333334</v>
      </c>
      <c r="K775">
        <v>12</v>
      </c>
      <c r="L775" s="16">
        <f t="shared" si="50"/>
        <v>51985.8658</v>
      </c>
      <c r="M775">
        <v>0</v>
      </c>
      <c r="N775" s="16">
        <f t="shared" si="51"/>
        <v>0</v>
      </c>
    </row>
    <row r="776" spans="1:14" x14ac:dyDescent="0.25">
      <c r="A776" s="29">
        <v>51</v>
      </c>
      <c r="B776" t="s">
        <v>28</v>
      </c>
      <c r="C776" s="1" t="s">
        <v>29</v>
      </c>
      <c r="D776" t="s">
        <v>1318</v>
      </c>
      <c r="E776" t="s">
        <v>569</v>
      </c>
      <c r="F776">
        <v>10323.4</v>
      </c>
      <c r="G776">
        <v>36</v>
      </c>
      <c r="H776">
        <v>11148.650000000023</v>
      </c>
      <c r="I776" s="31">
        <f t="shared" si="52"/>
        <v>360493.74999999994</v>
      </c>
      <c r="J776" s="16">
        <f t="shared" si="49"/>
        <v>330452.60416666663</v>
      </c>
      <c r="K776">
        <v>12</v>
      </c>
      <c r="L776" s="16">
        <f t="shared" si="50"/>
        <v>39654.312499999993</v>
      </c>
      <c r="M776">
        <v>0</v>
      </c>
      <c r="N776" s="16">
        <f t="shared" si="51"/>
        <v>0</v>
      </c>
    </row>
    <row r="777" spans="1:14" x14ac:dyDescent="0.25">
      <c r="A777" s="29">
        <v>51</v>
      </c>
      <c r="B777" t="s">
        <v>28</v>
      </c>
      <c r="C777" s="1" t="s">
        <v>29</v>
      </c>
      <c r="D777" t="s">
        <v>1248</v>
      </c>
      <c r="E777" t="s">
        <v>569</v>
      </c>
      <c r="F777">
        <v>974.43</v>
      </c>
      <c r="G777">
        <v>240</v>
      </c>
      <c r="H777">
        <v>7016.2200000000012</v>
      </c>
      <c r="I777" s="31">
        <f t="shared" si="52"/>
        <v>226846.97999999998</v>
      </c>
      <c r="J777" s="16">
        <f t="shared" si="49"/>
        <v>207943.06499999997</v>
      </c>
      <c r="K777">
        <v>12</v>
      </c>
      <c r="L777" s="16">
        <f t="shared" si="50"/>
        <v>24953.167799999999</v>
      </c>
      <c r="M777">
        <v>0</v>
      </c>
      <c r="N777" s="16">
        <f t="shared" si="51"/>
        <v>0</v>
      </c>
    </row>
    <row r="778" spans="1:14" x14ac:dyDescent="0.25">
      <c r="A778" s="29">
        <v>51</v>
      </c>
      <c r="B778" t="s">
        <v>28</v>
      </c>
      <c r="C778" s="1" t="s">
        <v>29</v>
      </c>
      <c r="D778" t="s">
        <v>1375</v>
      </c>
      <c r="E778" t="s">
        <v>569</v>
      </c>
      <c r="F778">
        <v>3752.73</v>
      </c>
      <c r="G778">
        <v>288</v>
      </c>
      <c r="H778">
        <v>32424.319999999949</v>
      </c>
      <c r="I778" s="31">
        <f t="shared" si="52"/>
        <v>1048361.92</v>
      </c>
      <c r="J778" s="16">
        <f t="shared" si="49"/>
        <v>960998.42666666664</v>
      </c>
      <c r="K778">
        <v>12</v>
      </c>
      <c r="L778" s="16">
        <f t="shared" si="50"/>
        <v>115319.8112</v>
      </c>
      <c r="M778">
        <v>0</v>
      </c>
      <c r="N778" s="16">
        <f t="shared" si="51"/>
        <v>0</v>
      </c>
    </row>
    <row r="779" spans="1:14" x14ac:dyDescent="0.25">
      <c r="A779" s="29">
        <v>51</v>
      </c>
      <c r="B779" t="s">
        <v>28</v>
      </c>
      <c r="C779" s="1" t="s">
        <v>29</v>
      </c>
      <c r="D779" t="s">
        <v>1282</v>
      </c>
      <c r="E779" t="s">
        <v>569</v>
      </c>
      <c r="F779">
        <v>1503.11</v>
      </c>
      <c r="G779">
        <v>432</v>
      </c>
      <c r="H779">
        <v>19480.179999999935</v>
      </c>
      <c r="I779" s="31">
        <f t="shared" si="52"/>
        <v>629863.34</v>
      </c>
      <c r="J779" s="16">
        <f t="shared" si="49"/>
        <v>577374.72833333327</v>
      </c>
      <c r="K779">
        <v>12</v>
      </c>
      <c r="L779" s="16">
        <f t="shared" si="50"/>
        <v>69284.967399999994</v>
      </c>
      <c r="M779">
        <v>0</v>
      </c>
      <c r="N779" s="16">
        <f t="shared" si="51"/>
        <v>0</v>
      </c>
    </row>
    <row r="780" spans="1:14" x14ac:dyDescent="0.25">
      <c r="A780" s="29">
        <v>51</v>
      </c>
      <c r="B780" t="s">
        <v>28</v>
      </c>
      <c r="C780" s="1" t="s">
        <v>29</v>
      </c>
      <c r="D780" t="s">
        <v>1390</v>
      </c>
      <c r="E780" t="s">
        <v>569</v>
      </c>
      <c r="F780">
        <v>956.17</v>
      </c>
      <c r="G780">
        <v>100</v>
      </c>
      <c r="H780">
        <v>2869.3699999999953</v>
      </c>
      <c r="I780" s="31">
        <f t="shared" si="52"/>
        <v>92747.63</v>
      </c>
      <c r="J780" s="16">
        <f t="shared" si="49"/>
        <v>85018.660833333328</v>
      </c>
      <c r="K780">
        <v>12</v>
      </c>
      <c r="L780" s="16">
        <f t="shared" si="50"/>
        <v>10202.239299999999</v>
      </c>
      <c r="M780">
        <v>0</v>
      </c>
      <c r="N780" s="16">
        <f t="shared" si="51"/>
        <v>0</v>
      </c>
    </row>
    <row r="781" spans="1:14" x14ac:dyDescent="0.25">
      <c r="A781" s="29">
        <v>51</v>
      </c>
      <c r="B781" t="s">
        <v>28</v>
      </c>
      <c r="C781" s="1" t="s">
        <v>29</v>
      </c>
      <c r="D781" t="s">
        <v>1265</v>
      </c>
      <c r="E781" t="s">
        <v>569</v>
      </c>
      <c r="F781">
        <v>956.17</v>
      </c>
      <c r="G781">
        <v>100</v>
      </c>
      <c r="H781">
        <v>2869.3699999999953</v>
      </c>
      <c r="I781" s="31">
        <f t="shared" si="52"/>
        <v>92747.63</v>
      </c>
      <c r="J781" s="16">
        <f t="shared" si="49"/>
        <v>85018.660833333328</v>
      </c>
      <c r="K781">
        <v>12</v>
      </c>
      <c r="L781" s="16">
        <f t="shared" si="50"/>
        <v>10202.239299999999</v>
      </c>
      <c r="M781">
        <v>0</v>
      </c>
      <c r="N781" s="16">
        <f t="shared" si="51"/>
        <v>0</v>
      </c>
    </row>
    <row r="782" spans="1:14" x14ac:dyDescent="0.25">
      <c r="A782" s="29">
        <v>51</v>
      </c>
      <c r="B782" t="s">
        <v>28</v>
      </c>
      <c r="C782" s="1" t="s">
        <v>29</v>
      </c>
      <c r="D782" t="s">
        <v>1419</v>
      </c>
      <c r="E782" t="s">
        <v>569</v>
      </c>
      <c r="F782">
        <v>956.17</v>
      </c>
      <c r="G782">
        <v>100</v>
      </c>
      <c r="H782">
        <v>2869.3699999999953</v>
      </c>
      <c r="I782" s="31">
        <f t="shared" si="52"/>
        <v>92747.63</v>
      </c>
      <c r="J782" s="16">
        <f t="shared" si="49"/>
        <v>85018.660833333328</v>
      </c>
      <c r="K782">
        <v>12</v>
      </c>
      <c r="L782" s="16">
        <f t="shared" si="50"/>
        <v>10202.239299999999</v>
      </c>
      <c r="M782">
        <v>0</v>
      </c>
      <c r="N782" s="16">
        <f t="shared" si="51"/>
        <v>0</v>
      </c>
    </row>
    <row r="783" spans="1:14" x14ac:dyDescent="0.25">
      <c r="A783" s="29">
        <v>51</v>
      </c>
      <c r="B783" t="s">
        <v>28</v>
      </c>
      <c r="C783" s="1" t="s">
        <v>29</v>
      </c>
      <c r="D783" t="s">
        <v>1392</v>
      </c>
      <c r="E783" t="s">
        <v>569</v>
      </c>
      <c r="F783">
        <v>257.52</v>
      </c>
      <c r="G783">
        <v>240</v>
      </c>
      <c r="H783">
        <v>1854.0500000000029</v>
      </c>
      <c r="I783" s="31">
        <f t="shared" si="52"/>
        <v>59950.749999999993</v>
      </c>
      <c r="J783" s="16">
        <f t="shared" si="49"/>
        <v>54954.854166666657</v>
      </c>
      <c r="K783">
        <v>12</v>
      </c>
      <c r="L783" s="16">
        <f t="shared" si="50"/>
        <v>6594.5824999999986</v>
      </c>
      <c r="M783">
        <v>0</v>
      </c>
      <c r="N783" s="16">
        <f t="shared" si="51"/>
        <v>0</v>
      </c>
    </row>
    <row r="784" spans="1:14" x14ac:dyDescent="0.25">
      <c r="A784" s="29">
        <v>51</v>
      </c>
      <c r="B784" t="s">
        <v>28</v>
      </c>
      <c r="C784" s="1" t="s">
        <v>29</v>
      </c>
      <c r="D784" t="s">
        <v>1267</v>
      </c>
      <c r="E784" t="s">
        <v>569</v>
      </c>
      <c r="F784">
        <v>257.52</v>
      </c>
      <c r="G784">
        <v>720</v>
      </c>
      <c r="H784">
        <v>5562.1600000000035</v>
      </c>
      <c r="I784" s="31">
        <f t="shared" si="52"/>
        <v>179852.24</v>
      </c>
      <c r="J784" s="16">
        <f t="shared" si="49"/>
        <v>164864.55333333332</v>
      </c>
      <c r="K784">
        <v>12</v>
      </c>
      <c r="L784" s="16">
        <f t="shared" si="50"/>
        <v>19783.746399999996</v>
      </c>
      <c r="M784">
        <v>0</v>
      </c>
      <c r="N784" s="16">
        <f t="shared" si="51"/>
        <v>0</v>
      </c>
    </row>
    <row r="785" spans="1:14" x14ac:dyDescent="0.25">
      <c r="A785" s="29">
        <v>51</v>
      </c>
      <c r="B785" t="s">
        <v>28</v>
      </c>
      <c r="C785" s="1" t="s">
        <v>29</v>
      </c>
      <c r="D785" t="s">
        <v>1269</v>
      </c>
      <c r="E785" t="s">
        <v>569</v>
      </c>
      <c r="F785">
        <v>4753.1499999999996</v>
      </c>
      <c r="G785">
        <v>18</v>
      </c>
      <c r="H785">
        <v>2566.6699999999983</v>
      </c>
      <c r="I785" s="31">
        <f t="shared" si="52"/>
        <v>82990.03</v>
      </c>
      <c r="J785" s="16">
        <f t="shared" si="49"/>
        <v>76074.194166666668</v>
      </c>
      <c r="K785">
        <v>12</v>
      </c>
      <c r="L785" s="16">
        <f t="shared" si="50"/>
        <v>9128.9032999999999</v>
      </c>
      <c r="M785">
        <v>0</v>
      </c>
      <c r="N785" s="16">
        <f t="shared" si="51"/>
        <v>0</v>
      </c>
    </row>
    <row r="786" spans="1:14" x14ac:dyDescent="0.25">
      <c r="A786" s="29">
        <v>51</v>
      </c>
      <c r="B786" t="s">
        <v>28</v>
      </c>
      <c r="C786" s="1" t="s">
        <v>29</v>
      </c>
      <c r="D786" t="s">
        <v>1339</v>
      </c>
      <c r="E786" t="s">
        <v>569</v>
      </c>
      <c r="F786">
        <v>4571.63</v>
      </c>
      <c r="G786">
        <v>144</v>
      </c>
      <c r="H786">
        <v>19748.650000000023</v>
      </c>
      <c r="I786" s="31">
        <f t="shared" si="52"/>
        <v>638566.06999999995</v>
      </c>
      <c r="J786" s="16">
        <f t="shared" si="49"/>
        <v>585352.23083333322</v>
      </c>
      <c r="K786">
        <v>12</v>
      </c>
      <c r="L786" s="16">
        <f t="shared" si="50"/>
        <v>70242.267699999982</v>
      </c>
      <c r="M786">
        <v>0</v>
      </c>
      <c r="N786" s="16">
        <f t="shared" si="51"/>
        <v>0</v>
      </c>
    </row>
    <row r="787" spans="1:14" x14ac:dyDescent="0.25">
      <c r="A787" s="29">
        <v>51</v>
      </c>
      <c r="B787" t="s">
        <v>28</v>
      </c>
      <c r="C787" s="1" t="s">
        <v>29</v>
      </c>
      <c r="D787" t="s">
        <v>1255</v>
      </c>
      <c r="E787" t="s">
        <v>569</v>
      </c>
      <c r="F787">
        <v>3752.73</v>
      </c>
      <c r="G787">
        <v>144</v>
      </c>
      <c r="H787">
        <v>16211.710000000021</v>
      </c>
      <c r="I787" s="31">
        <f t="shared" si="52"/>
        <v>524181.41</v>
      </c>
      <c r="J787" s="16">
        <f t="shared" si="49"/>
        <v>480499.6258333333</v>
      </c>
      <c r="K787">
        <v>12</v>
      </c>
      <c r="L787" s="16">
        <f t="shared" si="50"/>
        <v>57659.955099999999</v>
      </c>
      <c r="M787">
        <v>0</v>
      </c>
      <c r="N787" s="16">
        <f t="shared" si="51"/>
        <v>0</v>
      </c>
    </row>
    <row r="788" spans="1:14" x14ac:dyDescent="0.25">
      <c r="A788" s="29">
        <v>51</v>
      </c>
      <c r="B788" t="s">
        <v>28</v>
      </c>
      <c r="C788" s="1" t="s">
        <v>29</v>
      </c>
      <c r="D788" t="s">
        <v>1224</v>
      </c>
      <c r="E788" t="s">
        <v>569</v>
      </c>
      <c r="F788">
        <v>4571.63</v>
      </c>
      <c r="G788">
        <v>144</v>
      </c>
      <c r="H788">
        <v>19748.650000000023</v>
      </c>
      <c r="I788" s="31">
        <f t="shared" si="52"/>
        <v>638566.06999999995</v>
      </c>
      <c r="J788" s="16">
        <f t="shared" si="49"/>
        <v>585352.23083333322</v>
      </c>
      <c r="K788">
        <v>12</v>
      </c>
      <c r="L788" s="16">
        <f t="shared" si="50"/>
        <v>70242.267699999982</v>
      </c>
      <c r="M788">
        <v>0</v>
      </c>
      <c r="N788" s="16">
        <f t="shared" si="51"/>
        <v>0</v>
      </c>
    </row>
    <row r="789" spans="1:14" x14ac:dyDescent="0.25">
      <c r="A789" s="29">
        <v>51</v>
      </c>
      <c r="B789" t="s">
        <v>28</v>
      </c>
      <c r="C789" s="1" t="s">
        <v>29</v>
      </c>
      <c r="D789" t="s">
        <v>1363</v>
      </c>
      <c r="E789" t="s">
        <v>569</v>
      </c>
      <c r="F789">
        <v>3752.73</v>
      </c>
      <c r="G789">
        <v>72</v>
      </c>
      <c r="H789">
        <v>8106.3100000000268</v>
      </c>
      <c r="I789" s="31">
        <f t="shared" si="52"/>
        <v>262090.24999999997</v>
      </c>
      <c r="J789" s="16">
        <f t="shared" si="49"/>
        <v>240249.39583333328</v>
      </c>
      <c r="K789">
        <v>12</v>
      </c>
      <c r="L789" s="16">
        <f t="shared" si="50"/>
        <v>28829.927499999994</v>
      </c>
      <c r="M789">
        <v>0</v>
      </c>
      <c r="N789" s="16">
        <f t="shared" si="51"/>
        <v>0</v>
      </c>
    </row>
    <row r="790" spans="1:14" x14ac:dyDescent="0.25">
      <c r="A790" s="29">
        <v>51</v>
      </c>
      <c r="B790" t="s">
        <v>28</v>
      </c>
      <c r="C790" s="1" t="s">
        <v>29</v>
      </c>
      <c r="D790" t="s">
        <v>1326</v>
      </c>
      <c r="E790" t="s">
        <v>569</v>
      </c>
      <c r="F790">
        <v>3752.73</v>
      </c>
      <c r="G790">
        <v>72</v>
      </c>
      <c r="H790">
        <v>8106.3100000000268</v>
      </c>
      <c r="I790" s="31">
        <f t="shared" si="52"/>
        <v>262090.24999999997</v>
      </c>
      <c r="J790" s="16">
        <f t="shared" si="49"/>
        <v>240249.39583333328</v>
      </c>
      <c r="K790">
        <v>12</v>
      </c>
      <c r="L790" s="16">
        <f t="shared" si="50"/>
        <v>28829.927499999994</v>
      </c>
      <c r="M790">
        <v>0</v>
      </c>
      <c r="N790" s="16">
        <f t="shared" si="51"/>
        <v>0</v>
      </c>
    </row>
    <row r="791" spans="1:14" x14ac:dyDescent="0.25">
      <c r="A791" s="29">
        <v>51</v>
      </c>
      <c r="B791" t="s">
        <v>28</v>
      </c>
      <c r="C791" s="1" t="s">
        <v>29</v>
      </c>
      <c r="D791" t="s">
        <v>1404</v>
      </c>
      <c r="E791" t="s">
        <v>569</v>
      </c>
      <c r="F791">
        <v>3752.73</v>
      </c>
      <c r="G791">
        <v>144</v>
      </c>
      <c r="H791">
        <v>16211.710000000021</v>
      </c>
      <c r="I791" s="31">
        <f t="shared" si="52"/>
        <v>524181.41</v>
      </c>
      <c r="J791" s="16">
        <f t="shared" si="49"/>
        <v>480499.6258333333</v>
      </c>
      <c r="K791">
        <v>12</v>
      </c>
      <c r="L791" s="16">
        <f t="shared" si="50"/>
        <v>57659.955099999999</v>
      </c>
      <c r="M791">
        <v>0</v>
      </c>
      <c r="N791" s="16">
        <f t="shared" si="51"/>
        <v>0</v>
      </c>
    </row>
    <row r="792" spans="1:14" x14ac:dyDescent="0.25">
      <c r="A792" s="29">
        <v>51</v>
      </c>
      <c r="B792" t="s">
        <v>28</v>
      </c>
      <c r="C792" s="1" t="s">
        <v>29</v>
      </c>
      <c r="D792" t="s">
        <v>1309</v>
      </c>
      <c r="E792" t="s">
        <v>569</v>
      </c>
      <c r="F792">
        <v>2190.17</v>
      </c>
      <c r="G792">
        <v>288</v>
      </c>
      <c r="H792">
        <v>18923.420000000042</v>
      </c>
      <c r="I792" s="31">
        <f t="shared" si="52"/>
        <v>611845.53999999992</v>
      </c>
      <c r="J792" s="16">
        <f t="shared" si="49"/>
        <v>560858.41166666662</v>
      </c>
      <c r="K792">
        <v>12</v>
      </c>
      <c r="L792" s="16">
        <f t="shared" si="50"/>
        <v>67303.009399999995</v>
      </c>
      <c r="M792">
        <v>0</v>
      </c>
      <c r="N792" s="16">
        <f t="shared" si="51"/>
        <v>0</v>
      </c>
    </row>
    <row r="793" spans="1:14" x14ac:dyDescent="0.25">
      <c r="A793" s="29">
        <v>51</v>
      </c>
      <c r="B793" t="s">
        <v>28</v>
      </c>
      <c r="C793" s="1" t="s">
        <v>29</v>
      </c>
      <c r="D793" t="s">
        <v>1231</v>
      </c>
      <c r="E793" t="s">
        <v>569</v>
      </c>
      <c r="F793">
        <v>1503.11</v>
      </c>
      <c r="G793">
        <v>432</v>
      </c>
      <c r="H793">
        <v>19480.179999999935</v>
      </c>
      <c r="I793" s="31">
        <f t="shared" si="52"/>
        <v>629863.34</v>
      </c>
      <c r="J793" s="16">
        <f t="shared" si="49"/>
        <v>577374.72833333327</v>
      </c>
      <c r="K793">
        <v>12</v>
      </c>
      <c r="L793" s="16">
        <f t="shared" si="50"/>
        <v>69284.967399999994</v>
      </c>
      <c r="M793">
        <v>0</v>
      </c>
      <c r="N793" s="16">
        <f t="shared" si="51"/>
        <v>0</v>
      </c>
    </row>
    <row r="794" spans="1:14" x14ac:dyDescent="0.25">
      <c r="A794" s="29">
        <v>51</v>
      </c>
      <c r="B794" t="s">
        <v>28</v>
      </c>
      <c r="C794" s="1" t="s">
        <v>29</v>
      </c>
      <c r="D794" t="s">
        <v>1271</v>
      </c>
      <c r="E794" t="s">
        <v>569</v>
      </c>
      <c r="F794">
        <v>1503.11</v>
      </c>
      <c r="G794">
        <v>288</v>
      </c>
      <c r="H794">
        <v>12987.390000000014</v>
      </c>
      <c r="I794" s="31">
        <f t="shared" si="52"/>
        <v>419908.29</v>
      </c>
      <c r="J794" s="16">
        <f t="shared" si="49"/>
        <v>384915.93249999994</v>
      </c>
      <c r="K794">
        <v>12</v>
      </c>
      <c r="L794" s="16">
        <f t="shared" si="50"/>
        <v>46189.911899999992</v>
      </c>
      <c r="M794">
        <v>0</v>
      </c>
      <c r="N794" s="16">
        <f t="shared" si="51"/>
        <v>0</v>
      </c>
    </row>
    <row r="795" spans="1:14" x14ac:dyDescent="0.25">
      <c r="A795" s="29">
        <v>51</v>
      </c>
      <c r="B795" t="s">
        <v>28</v>
      </c>
      <c r="C795" s="1" t="s">
        <v>29</v>
      </c>
      <c r="D795" t="s">
        <v>1225</v>
      </c>
      <c r="E795" t="s">
        <v>569</v>
      </c>
      <c r="F795">
        <v>7636.11</v>
      </c>
      <c r="G795">
        <v>72</v>
      </c>
      <c r="H795">
        <v>16493.689999999944</v>
      </c>
      <c r="I795" s="31">
        <f t="shared" si="52"/>
        <v>533306.23</v>
      </c>
      <c r="J795" s="16">
        <f t="shared" si="49"/>
        <v>488864.04416666663</v>
      </c>
      <c r="K795">
        <v>12</v>
      </c>
      <c r="L795" s="16">
        <f t="shared" si="50"/>
        <v>58663.68529999999</v>
      </c>
      <c r="M795">
        <v>0</v>
      </c>
      <c r="N795" s="16">
        <f t="shared" si="51"/>
        <v>0</v>
      </c>
    </row>
    <row r="796" spans="1:14" x14ac:dyDescent="0.25">
      <c r="A796" s="29">
        <v>51</v>
      </c>
      <c r="B796" t="s">
        <v>28</v>
      </c>
      <c r="C796" s="1" t="s">
        <v>29</v>
      </c>
      <c r="D796" t="s">
        <v>1227</v>
      </c>
      <c r="E796" t="s">
        <v>569</v>
      </c>
      <c r="F796">
        <v>7411.11</v>
      </c>
      <c r="G796">
        <v>36</v>
      </c>
      <c r="H796">
        <v>8003.6000000000058</v>
      </c>
      <c r="I796" s="31">
        <f t="shared" si="52"/>
        <v>258796.35999999996</v>
      </c>
      <c r="J796" s="16">
        <f t="shared" si="49"/>
        <v>237229.99666666662</v>
      </c>
      <c r="K796">
        <v>12</v>
      </c>
      <c r="L796" s="16">
        <f t="shared" si="50"/>
        <v>28467.599599999994</v>
      </c>
      <c r="M796">
        <v>0</v>
      </c>
      <c r="N796" s="16">
        <f t="shared" si="51"/>
        <v>0</v>
      </c>
    </row>
    <row r="797" spans="1:14" x14ac:dyDescent="0.25">
      <c r="A797" s="29">
        <v>51</v>
      </c>
      <c r="B797" t="s">
        <v>28</v>
      </c>
      <c r="C797" s="1" t="s">
        <v>29</v>
      </c>
      <c r="D797" t="s">
        <v>1322</v>
      </c>
      <c r="E797" t="s">
        <v>569</v>
      </c>
      <c r="F797">
        <v>7250</v>
      </c>
      <c r="G797">
        <v>24</v>
      </c>
      <c r="H797">
        <v>5219.820000000007</v>
      </c>
      <c r="I797" s="31">
        <f t="shared" si="52"/>
        <v>168780.18</v>
      </c>
      <c r="J797" s="16">
        <f t="shared" si="49"/>
        <v>154715.16499999998</v>
      </c>
      <c r="K797">
        <v>12</v>
      </c>
      <c r="L797" s="16">
        <f t="shared" si="50"/>
        <v>18565.819799999997</v>
      </c>
      <c r="M797">
        <v>0</v>
      </c>
      <c r="N797" s="16">
        <f t="shared" si="51"/>
        <v>0</v>
      </c>
    </row>
    <row r="798" spans="1:14" x14ac:dyDescent="0.25">
      <c r="A798" s="29">
        <v>51</v>
      </c>
      <c r="B798" t="s">
        <v>28</v>
      </c>
      <c r="C798" s="1" t="s">
        <v>29</v>
      </c>
      <c r="D798" t="s">
        <v>1228</v>
      </c>
      <c r="E798" t="s">
        <v>569</v>
      </c>
      <c r="F798">
        <v>7250</v>
      </c>
      <c r="G798">
        <v>24</v>
      </c>
      <c r="H798">
        <v>5219.820000000007</v>
      </c>
      <c r="I798" s="31">
        <f t="shared" si="52"/>
        <v>168780.18</v>
      </c>
      <c r="J798" s="16">
        <f t="shared" si="49"/>
        <v>154715.16499999998</v>
      </c>
      <c r="K798">
        <v>12</v>
      </c>
      <c r="L798" s="16">
        <f t="shared" si="50"/>
        <v>18565.819799999997</v>
      </c>
      <c r="M798">
        <v>0</v>
      </c>
      <c r="N798" s="16">
        <f t="shared" si="51"/>
        <v>0</v>
      </c>
    </row>
    <row r="799" spans="1:14" x14ac:dyDescent="0.25">
      <c r="A799" s="29">
        <v>51</v>
      </c>
      <c r="B799" t="s">
        <v>28</v>
      </c>
      <c r="C799" s="1" t="s">
        <v>29</v>
      </c>
      <c r="D799" t="s">
        <v>1229</v>
      </c>
      <c r="E799" t="s">
        <v>569</v>
      </c>
      <c r="F799">
        <v>7250</v>
      </c>
      <c r="G799">
        <v>24</v>
      </c>
      <c r="H799">
        <v>5219.820000000007</v>
      </c>
      <c r="I799" s="31">
        <f t="shared" si="52"/>
        <v>168780.18</v>
      </c>
      <c r="J799" s="16">
        <f t="shared" si="49"/>
        <v>154715.16499999998</v>
      </c>
      <c r="K799">
        <v>12</v>
      </c>
      <c r="L799" s="16">
        <f t="shared" si="50"/>
        <v>18565.819799999997</v>
      </c>
      <c r="M799">
        <v>0</v>
      </c>
      <c r="N799" s="16">
        <f t="shared" si="51"/>
        <v>0</v>
      </c>
    </row>
    <row r="800" spans="1:14" x14ac:dyDescent="0.25">
      <c r="A800" s="29">
        <v>51</v>
      </c>
      <c r="B800" t="s">
        <v>28</v>
      </c>
      <c r="C800" s="1" t="s">
        <v>29</v>
      </c>
      <c r="D800" t="s">
        <v>1384</v>
      </c>
      <c r="E800" t="s">
        <v>569</v>
      </c>
      <c r="F800">
        <v>7250</v>
      </c>
      <c r="G800">
        <v>24</v>
      </c>
      <c r="H800">
        <v>5219.820000000007</v>
      </c>
      <c r="I800" s="31">
        <f t="shared" si="52"/>
        <v>168780.18</v>
      </c>
      <c r="J800" s="16">
        <f t="shared" si="49"/>
        <v>154715.16499999998</v>
      </c>
      <c r="K800">
        <v>12</v>
      </c>
      <c r="L800" s="16">
        <f t="shared" si="50"/>
        <v>18565.819799999997</v>
      </c>
      <c r="M800">
        <v>0</v>
      </c>
      <c r="N800" s="16">
        <f t="shared" si="51"/>
        <v>0</v>
      </c>
    </row>
    <row r="801" spans="1:14" x14ac:dyDescent="0.25">
      <c r="A801" s="29">
        <v>51</v>
      </c>
      <c r="B801" t="s">
        <v>28</v>
      </c>
      <c r="C801" s="1" t="s">
        <v>29</v>
      </c>
      <c r="D801" t="s">
        <v>1399</v>
      </c>
      <c r="E801" t="s">
        <v>569</v>
      </c>
      <c r="F801">
        <v>7250</v>
      </c>
      <c r="G801">
        <v>24</v>
      </c>
      <c r="H801">
        <v>5219.820000000007</v>
      </c>
      <c r="I801" s="31">
        <f t="shared" si="52"/>
        <v>168780.18</v>
      </c>
      <c r="J801" s="16">
        <f t="shared" si="49"/>
        <v>154715.16499999998</v>
      </c>
      <c r="K801">
        <v>12</v>
      </c>
      <c r="L801" s="16">
        <f t="shared" si="50"/>
        <v>18565.819799999997</v>
      </c>
      <c r="M801">
        <v>0</v>
      </c>
      <c r="N801" s="16">
        <f t="shared" si="51"/>
        <v>0</v>
      </c>
    </row>
    <row r="802" spans="1:14" x14ac:dyDescent="0.25">
      <c r="A802" s="29">
        <v>51</v>
      </c>
      <c r="B802" t="s">
        <v>28</v>
      </c>
      <c r="C802" s="1" t="s">
        <v>29</v>
      </c>
      <c r="D802" t="s">
        <v>1376</v>
      </c>
      <c r="E802" t="s">
        <v>569</v>
      </c>
      <c r="F802">
        <v>10213.290000000001</v>
      </c>
      <c r="G802">
        <v>12</v>
      </c>
      <c r="H802">
        <v>3676.5800000000017</v>
      </c>
      <c r="I802" s="31">
        <f t="shared" si="52"/>
        <v>118882.90000000001</v>
      </c>
      <c r="J802" s="16">
        <f t="shared" si="49"/>
        <v>108975.99166666667</v>
      </c>
      <c r="K802">
        <v>12</v>
      </c>
      <c r="L802" s="16">
        <f t="shared" si="50"/>
        <v>13077.118999999999</v>
      </c>
      <c r="M802">
        <v>0</v>
      </c>
      <c r="N802" s="16">
        <f t="shared" si="51"/>
        <v>0</v>
      </c>
    </row>
    <row r="803" spans="1:14" x14ac:dyDescent="0.25">
      <c r="A803" s="29">
        <v>51</v>
      </c>
      <c r="B803" t="s">
        <v>28</v>
      </c>
      <c r="C803" s="1" t="s">
        <v>29</v>
      </c>
      <c r="D803" t="s">
        <v>1230</v>
      </c>
      <c r="E803" t="s">
        <v>569</v>
      </c>
      <c r="F803">
        <v>7250</v>
      </c>
      <c r="G803">
        <v>24</v>
      </c>
      <c r="H803">
        <v>5219.820000000007</v>
      </c>
      <c r="I803" s="31">
        <f t="shared" si="52"/>
        <v>168780.18</v>
      </c>
      <c r="J803" s="16">
        <f t="shared" si="49"/>
        <v>154715.16499999998</v>
      </c>
      <c r="K803">
        <v>12</v>
      </c>
      <c r="L803" s="16">
        <f t="shared" si="50"/>
        <v>18565.819799999997</v>
      </c>
      <c r="M803">
        <v>0</v>
      </c>
      <c r="N803" s="16">
        <f t="shared" si="51"/>
        <v>0</v>
      </c>
    </row>
    <row r="804" spans="1:14" x14ac:dyDescent="0.25">
      <c r="A804" s="29">
        <v>51</v>
      </c>
      <c r="B804" t="s">
        <v>28</v>
      </c>
      <c r="C804" s="1" t="s">
        <v>29</v>
      </c>
      <c r="D804" t="s">
        <v>1406</v>
      </c>
      <c r="E804" t="s">
        <v>569</v>
      </c>
      <c r="F804">
        <v>3680</v>
      </c>
      <c r="G804">
        <v>30</v>
      </c>
      <c r="H804">
        <v>3311.7100000000064</v>
      </c>
      <c r="I804" s="31">
        <f t="shared" si="52"/>
        <v>107088.29</v>
      </c>
      <c r="J804" s="16">
        <f t="shared" si="49"/>
        <v>98164.265833333324</v>
      </c>
      <c r="K804">
        <v>12</v>
      </c>
      <c r="L804" s="16">
        <f t="shared" si="50"/>
        <v>11779.7119</v>
      </c>
      <c r="M804">
        <v>0</v>
      </c>
      <c r="N804" s="16">
        <f t="shared" si="51"/>
        <v>0</v>
      </c>
    </row>
    <row r="805" spans="1:14" x14ac:dyDescent="0.25">
      <c r="A805" s="29">
        <v>51</v>
      </c>
      <c r="B805" t="s">
        <v>28</v>
      </c>
      <c r="C805" s="1" t="s">
        <v>29</v>
      </c>
      <c r="D805" t="s">
        <v>1364</v>
      </c>
      <c r="E805" t="s">
        <v>569</v>
      </c>
      <c r="F805">
        <v>10213.290000000001</v>
      </c>
      <c r="G805">
        <v>12</v>
      </c>
      <c r="H805">
        <v>3676.5800000000017</v>
      </c>
      <c r="I805" s="31">
        <f t="shared" si="52"/>
        <v>118882.90000000001</v>
      </c>
      <c r="J805" s="16">
        <f t="shared" si="49"/>
        <v>108975.99166666667</v>
      </c>
      <c r="K805">
        <v>12</v>
      </c>
      <c r="L805" s="16">
        <f t="shared" si="50"/>
        <v>13077.118999999999</v>
      </c>
      <c r="M805">
        <v>0</v>
      </c>
      <c r="N805" s="16">
        <f t="shared" si="51"/>
        <v>0</v>
      </c>
    </row>
    <row r="806" spans="1:14" x14ac:dyDescent="0.25">
      <c r="A806" s="29">
        <v>51</v>
      </c>
      <c r="B806" t="s">
        <v>28</v>
      </c>
      <c r="C806" s="1" t="s">
        <v>29</v>
      </c>
      <c r="D806" t="s">
        <v>1365</v>
      </c>
      <c r="E806" t="s">
        <v>569</v>
      </c>
      <c r="F806">
        <v>10213.290000000001</v>
      </c>
      <c r="G806">
        <v>12</v>
      </c>
      <c r="H806">
        <v>3676.5800000000017</v>
      </c>
      <c r="I806" s="31">
        <f t="shared" si="52"/>
        <v>118882.90000000001</v>
      </c>
      <c r="J806" s="16">
        <f t="shared" si="49"/>
        <v>108975.99166666667</v>
      </c>
      <c r="K806">
        <v>12</v>
      </c>
      <c r="L806" s="16">
        <f t="shared" si="50"/>
        <v>13077.118999999999</v>
      </c>
      <c r="M806">
        <v>0</v>
      </c>
      <c r="N806" s="16">
        <f t="shared" si="51"/>
        <v>0</v>
      </c>
    </row>
    <row r="807" spans="1:14" x14ac:dyDescent="0.25">
      <c r="A807" s="29">
        <v>52</v>
      </c>
      <c r="B807" t="s">
        <v>28</v>
      </c>
      <c r="C807" s="1" t="s">
        <v>29</v>
      </c>
      <c r="D807" t="s">
        <v>1420</v>
      </c>
      <c r="E807" t="s">
        <v>569</v>
      </c>
      <c r="F807">
        <v>97220.9</v>
      </c>
      <c r="G807">
        <v>60</v>
      </c>
      <c r="H807">
        <v>174998.20000000019</v>
      </c>
      <c r="I807" s="31">
        <f t="shared" si="52"/>
        <v>5658255.7999999998</v>
      </c>
      <c r="J807" s="16">
        <f t="shared" si="49"/>
        <v>5186734.4833333334</v>
      </c>
      <c r="K807">
        <v>12</v>
      </c>
      <c r="L807" s="16">
        <f t="shared" si="50"/>
        <v>622408.13799999992</v>
      </c>
      <c r="M807">
        <v>0</v>
      </c>
      <c r="N807" s="16">
        <f t="shared" si="51"/>
        <v>0</v>
      </c>
    </row>
    <row r="808" spans="1:14" x14ac:dyDescent="0.25">
      <c r="A808" s="29">
        <v>52</v>
      </c>
      <c r="B808" t="s">
        <v>28</v>
      </c>
      <c r="C808" s="1" t="s">
        <v>29</v>
      </c>
      <c r="D808" t="s">
        <v>1257</v>
      </c>
      <c r="E808" t="s">
        <v>569</v>
      </c>
      <c r="F808">
        <v>3752.73</v>
      </c>
      <c r="G808">
        <v>432</v>
      </c>
      <c r="H808">
        <v>48635.14000000013</v>
      </c>
      <c r="I808" s="31">
        <f t="shared" si="52"/>
        <v>1572544.22</v>
      </c>
      <c r="J808" s="16">
        <f t="shared" si="49"/>
        <v>1441498.8683333332</v>
      </c>
      <c r="K808">
        <v>12</v>
      </c>
      <c r="L808" s="16">
        <f t="shared" si="50"/>
        <v>172979.86419999998</v>
      </c>
      <c r="M808">
        <v>0</v>
      </c>
      <c r="N808" s="16">
        <f t="shared" si="51"/>
        <v>0</v>
      </c>
    </row>
    <row r="809" spans="1:14" x14ac:dyDescent="0.25">
      <c r="A809" s="29">
        <v>52</v>
      </c>
      <c r="B809" t="s">
        <v>28</v>
      </c>
      <c r="C809" s="1" t="s">
        <v>29</v>
      </c>
      <c r="D809" t="s">
        <v>1258</v>
      </c>
      <c r="E809" t="s">
        <v>569</v>
      </c>
      <c r="F809">
        <v>3752.73</v>
      </c>
      <c r="G809">
        <v>720</v>
      </c>
      <c r="H809">
        <v>81058.560000000056</v>
      </c>
      <c r="I809" s="31">
        <f t="shared" si="52"/>
        <v>2620907.04</v>
      </c>
      <c r="J809" s="16">
        <f t="shared" si="49"/>
        <v>2402498.12</v>
      </c>
      <c r="K809">
        <v>12</v>
      </c>
      <c r="L809" s="16">
        <f t="shared" si="50"/>
        <v>288299.77439999999</v>
      </c>
      <c r="M809">
        <v>0</v>
      </c>
      <c r="N809" s="16">
        <f t="shared" si="51"/>
        <v>0</v>
      </c>
    </row>
    <row r="810" spans="1:14" x14ac:dyDescent="0.25">
      <c r="A810" s="29">
        <v>52</v>
      </c>
      <c r="B810" t="s">
        <v>28</v>
      </c>
      <c r="C810" s="1" t="s">
        <v>29</v>
      </c>
      <c r="D810" t="s">
        <v>1260</v>
      </c>
      <c r="E810" t="s">
        <v>569</v>
      </c>
      <c r="F810">
        <v>3752.73</v>
      </c>
      <c r="G810">
        <v>3600</v>
      </c>
      <c r="H810">
        <v>405294.58999999985</v>
      </c>
      <c r="I810" s="31">
        <f t="shared" si="52"/>
        <v>13104533.41</v>
      </c>
      <c r="J810" s="16">
        <f t="shared" si="49"/>
        <v>12012488.959166666</v>
      </c>
      <c r="K810">
        <v>12</v>
      </c>
      <c r="L810" s="16">
        <f t="shared" si="50"/>
        <v>1441498.6750999999</v>
      </c>
      <c r="M810">
        <v>0</v>
      </c>
      <c r="N810" s="16">
        <f t="shared" si="51"/>
        <v>0</v>
      </c>
    </row>
    <row r="811" spans="1:14" x14ac:dyDescent="0.25">
      <c r="A811" s="29">
        <v>52</v>
      </c>
      <c r="B811" t="s">
        <v>28</v>
      </c>
      <c r="C811" s="1" t="s">
        <v>29</v>
      </c>
      <c r="D811" t="s">
        <v>1261</v>
      </c>
      <c r="E811" t="s">
        <v>569</v>
      </c>
      <c r="F811">
        <v>3752.73</v>
      </c>
      <c r="G811">
        <v>720</v>
      </c>
      <c r="H811">
        <v>81058.560000000056</v>
      </c>
      <c r="I811" s="31">
        <f t="shared" si="52"/>
        <v>2620907.04</v>
      </c>
      <c r="J811" s="16">
        <f t="shared" si="49"/>
        <v>2402498.12</v>
      </c>
      <c r="K811">
        <v>12</v>
      </c>
      <c r="L811" s="16">
        <f t="shared" si="50"/>
        <v>288299.77439999999</v>
      </c>
      <c r="M811">
        <v>0</v>
      </c>
      <c r="N811" s="16">
        <f t="shared" si="51"/>
        <v>0</v>
      </c>
    </row>
    <row r="812" spans="1:14" x14ac:dyDescent="0.25">
      <c r="A812" s="29">
        <v>52</v>
      </c>
      <c r="B812" t="s">
        <v>28</v>
      </c>
      <c r="C812" s="1" t="s">
        <v>29</v>
      </c>
      <c r="D812" t="s">
        <v>1236</v>
      </c>
      <c r="E812" t="s">
        <v>569</v>
      </c>
      <c r="F812">
        <v>3966.67</v>
      </c>
      <c r="G812">
        <v>360</v>
      </c>
      <c r="H812">
        <v>42839.639999999898</v>
      </c>
      <c r="I812" s="31">
        <f t="shared" si="52"/>
        <v>1385161.56</v>
      </c>
      <c r="J812" s="16">
        <f t="shared" si="49"/>
        <v>1269731.43</v>
      </c>
      <c r="K812">
        <v>12</v>
      </c>
      <c r="L812" s="16">
        <f t="shared" si="50"/>
        <v>152367.77160000001</v>
      </c>
      <c r="M812">
        <v>0</v>
      </c>
      <c r="N812" s="16">
        <f t="shared" si="51"/>
        <v>0</v>
      </c>
    </row>
    <row r="813" spans="1:14" x14ac:dyDescent="0.25">
      <c r="A813" s="29">
        <v>52</v>
      </c>
      <c r="B813" t="s">
        <v>28</v>
      </c>
      <c r="C813" s="1" t="s">
        <v>29</v>
      </c>
      <c r="D813" t="s">
        <v>1237</v>
      </c>
      <c r="E813" t="s">
        <v>569</v>
      </c>
      <c r="F813">
        <v>3966.67</v>
      </c>
      <c r="G813">
        <v>1080</v>
      </c>
      <c r="H813">
        <v>128519.81999999983</v>
      </c>
      <c r="I813" s="31">
        <f t="shared" si="52"/>
        <v>4155483.78</v>
      </c>
      <c r="J813" s="16">
        <f t="shared" si="49"/>
        <v>3809193.4649999999</v>
      </c>
      <c r="K813">
        <v>12</v>
      </c>
      <c r="L813" s="16">
        <f t="shared" si="50"/>
        <v>457103.21580000001</v>
      </c>
      <c r="M813">
        <v>0</v>
      </c>
      <c r="N813" s="16">
        <f t="shared" si="51"/>
        <v>0</v>
      </c>
    </row>
    <row r="814" spans="1:14" x14ac:dyDescent="0.25">
      <c r="A814" s="29">
        <v>52</v>
      </c>
      <c r="B814" t="s">
        <v>28</v>
      </c>
      <c r="C814" s="1" t="s">
        <v>29</v>
      </c>
      <c r="D814" t="s">
        <v>1277</v>
      </c>
      <c r="E814" t="s">
        <v>569</v>
      </c>
      <c r="F814">
        <v>1503.11</v>
      </c>
      <c r="G814">
        <v>432</v>
      </c>
      <c r="H814">
        <v>19480.179999999935</v>
      </c>
      <c r="I814" s="31">
        <f t="shared" si="52"/>
        <v>629863.34</v>
      </c>
      <c r="J814" s="16">
        <f t="shared" si="49"/>
        <v>577374.72833333327</v>
      </c>
      <c r="K814">
        <v>12</v>
      </c>
      <c r="L814" s="16">
        <f t="shared" si="50"/>
        <v>69284.967399999994</v>
      </c>
      <c r="M814">
        <v>0</v>
      </c>
      <c r="N814" s="16">
        <f t="shared" si="51"/>
        <v>0</v>
      </c>
    </row>
    <row r="815" spans="1:14" x14ac:dyDescent="0.25">
      <c r="A815" s="29">
        <v>52</v>
      </c>
      <c r="B815" t="s">
        <v>28</v>
      </c>
      <c r="C815" s="1" t="s">
        <v>29</v>
      </c>
      <c r="D815" t="s">
        <v>1212</v>
      </c>
      <c r="E815" t="s">
        <v>569</v>
      </c>
      <c r="F815">
        <v>1503.11</v>
      </c>
      <c r="G815">
        <v>432</v>
      </c>
      <c r="H815">
        <v>19480.179999999935</v>
      </c>
      <c r="I815" s="31">
        <f t="shared" si="52"/>
        <v>629863.34</v>
      </c>
      <c r="J815" s="16">
        <f t="shared" si="49"/>
        <v>577374.72833333327</v>
      </c>
      <c r="K815">
        <v>12</v>
      </c>
      <c r="L815" s="16">
        <f t="shared" si="50"/>
        <v>69284.967399999994</v>
      </c>
      <c r="M815">
        <v>0</v>
      </c>
      <c r="N815" s="16">
        <f t="shared" si="51"/>
        <v>0</v>
      </c>
    </row>
    <row r="816" spans="1:14" x14ac:dyDescent="0.25">
      <c r="A816" s="29">
        <v>52</v>
      </c>
      <c r="B816" t="s">
        <v>28</v>
      </c>
      <c r="C816" s="1" t="s">
        <v>29</v>
      </c>
      <c r="D816" t="s">
        <v>1279</v>
      </c>
      <c r="E816" t="s">
        <v>569</v>
      </c>
      <c r="F816">
        <v>1503.11</v>
      </c>
      <c r="G816">
        <v>432</v>
      </c>
      <c r="H816">
        <v>19480.179999999935</v>
      </c>
      <c r="I816" s="31">
        <f t="shared" si="52"/>
        <v>629863.34</v>
      </c>
      <c r="J816" s="16">
        <f t="shared" si="49"/>
        <v>577374.72833333327</v>
      </c>
      <c r="K816">
        <v>12</v>
      </c>
      <c r="L816" s="16">
        <f t="shared" si="50"/>
        <v>69284.967399999994</v>
      </c>
      <c r="M816">
        <v>0</v>
      </c>
      <c r="N816" s="16">
        <f t="shared" si="51"/>
        <v>0</v>
      </c>
    </row>
    <row r="817" spans="1:14" x14ac:dyDescent="0.25">
      <c r="A817" s="29">
        <v>52</v>
      </c>
      <c r="B817" t="s">
        <v>28</v>
      </c>
      <c r="C817" s="1" t="s">
        <v>29</v>
      </c>
      <c r="D817" t="s">
        <v>1215</v>
      </c>
      <c r="E817" t="s">
        <v>569</v>
      </c>
      <c r="F817">
        <v>1503.11</v>
      </c>
      <c r="G817">
        <v>288</v>
      </c>
      <c r="H817">
        <v>12987.390000000014</v>
      </c>
      <c r="I817" s="31">
        <f t="shared" si="52"/>
        <v>419908.29</v>
      </c>
      <c r="J817" s="16">
        <f t="shared" si="49"/>
        <v>384915.93249999994</v>
      </c>
      <c r="K817">
        <v>12</v>
      </c>
      <c r="L817" s="16">
        <f t="shared" si="50"/>
        <v>46189.911899999992</v>
      </c>
      <c r="M817">
        <v>0</v>
      </c>
      <c r="N817" s="16">
        <f t="shared" si="51"/>
        <v>0</v>
      </c>
    </row>
    <row r="818" spans="1:14" x14ac:dyDescent="0.25">
      <c r="A818" s="29">
        <v>52</v>
      </c>
      <c r="B818" t="s">
        <v>28</v>
      </c>
      <c r="C818" s="1" t="s">
        <v>29</v>
      </c>
      <c r="D818" t="s">
        <v>1303</v>
      </c>
      <c r="E818" t="s">
        <v>569</v>
      </c>
      <c r="F818">
        <v>3669.95</v>
      </c>
      <c r="G818">
        <v>216</v>
      </c>
      <c r="H818">
        <v>23781.080000000075</v>
      </c>
      <c r="I818" s="31">
        <f t="shared" si="52"/>
        <v>768928.11999999988</v>
      </c>
      <c r="J818" s="16">
        <f t="shared" si="49"/>
        <v>704850.7766666665</v>
      </c>
      <c r="K818">
        <v>12</v>
      </c>
      <c r="L818" s="16">
        <f t="shared" si="50"/>
        <v>84582.093199999988</v>
      </c>
      <c r="M818">
        <v>0</v>
      </c>
      <c r="N818" s="16">
        <f t="shared" si="51"/>
        <v>0</v>
      </c>
    </row>
    <row r="819" spans="1:14" x14ac:dyDescent="0.25">
      <c r="A819" s="29">
        <v>52</v>
      </c>
      <c r="B819" t="s">
        <v>28</v>
      </c>
      <c r="C819" s="1" t="s">
        <v>29</v>
      </c>
      <c r="D819" t="s">
        <v>1216</v>
      </c>
      <c r="E819" t="s">
        <v>569</v>
      </c>
      <c r="F819">
        <v>7411.11</v>
      </c>
      <c r="G819">
        <v>72</v>
      </c>
      <c r="H819">
        <v>16008.109999999986</v>
      </c>
      <c r="I819" s="31">
        <f t="shared" si="52"/>
        <v>517591.80999999994</v>
      </c>
      <c r="J819" s="16">
        <f t="shared" si="49"/>
        <v>474459.15916666662</v>
      </c>
      <c r="K819">
        <v>12</v>
      </c>
      <c r="L819" s="16">
        <f t="shared" si="50"/>
        <v>56935.099099999992</v>
      </c>
      <c r="M819">
        <v>0</v>
      </c>
      <c r="N819" s="16">
        <f t="shared" si="51"/>
        <v>0</v>
      </c>
    </row>
    <row r="820" spans="1:14" x14ac:dyDescent="0.25">
      <c r="A820" s="29">
        <v>52</v>
      </c>
      <c r="B820" t="s">
        <v>28</v>
      </c>
      <c r="C820" s="1" t="s">
        <v>29</v>
      </c>
      <c r="D820" t="s">
        <v>1218</v>
      </c>
      <c r="E820" t="s">
        <v>569</v>
      </c>
      <c r="F820">
        <v>7411.11</v>
      </c>
      <c r="G820">
        <v>180</v>
      </c>
      <c r="H820">
        <v>40019.820000000065</v>
      </c>
      <c r="I820" s="31">
        <f t="shared" si="52"/>
        <v>1293979.98</v>
      </c>
      <c r="J820" s="16">
        <f t="shared" si="49"/>
        <v>1186148.3149999999</v>
      </c>
      <c r="K820">
        <v>12</v>
      </c>
      <c r="L820" s="16">
        <f t="shared" si="50"/>
        <v>142337.7978</v>
      </c>
      <c r="M820">
        <v>0</v>
      </c>
      <c r="N820" s="16">
        <f t="shared" si="51"/>
        <v>0</v>
      </c>
    </row>
    <row r="821" spans="1:14" x14ac:dyDescent="0.25">
      <c r="A821" s="29">
        <v>52</v>
      </c>
      <c r="B821" t="s">
        <v>28</v>
      </c>
      <c r="C821" s="1" t="s">
        <v>29</v>
      </c>
      <c r="D821" t="s">
        <v>1221</v>
      </c>
      <c r="E821" t="s">
        <v>569</v>
      </c>
      <c r="F821">
        <v>7411.11</v>
      </c>
      <c r="G821">
        <v>72</v>
      </c>
      <c r="H821">
        <v>16008.109999999986</v>
      </c>
      <c r="I821" s="31">
        <f t="shared" si="52"/>
        <v>517591.80999999994</v>
      </c>
      <c r="J821" s="16">
        <f t="shared" si="49"/>
        <v>474459.15916666662</v>
      </c>
      <c r="K821">
        <v>12</v>
      </c>
      <c r="L821" s="16">
        <f t="shared" si="50"/>
        <v>56935.099099999992</v>
      </c>
      <c r="M821">
        <v>0</v>
      </c>
      <c r="N821" s="16">
        <f t="shared" si="51"/>
        <v>0</v>
      </c>
    </row>
    <row r="822" spans="1:14" x14ac:dyDescent="0.25">
      <c r="A822" s="29">
        <v>52</v>
      </c>
      <c r="B822" t="s">
        <v>28</v>
      </c>
      <c r="C822" s="1" t="s">
        <v>29</v>
      </c>
      <c r="D822" t="s">
        <v>1375</v>
      </c>
      <c r="E822" t="s">
        <v>569</v>
      </c>
      <c r="F822">
        <v>3752.73</v>
      </c>
      <c r="G822">
        <v>1440</v>
      </c>
      <c r="H822">
        <v>162118.01999999955</v>
      </c>
      <c r="I822" s="31">
        <f t="shared" si="52"/>
        <v>5241813.1800000006</v>
      </c>
      <c r="J822" s="16">
        <f t="shared" si="49"/>
        <v>4804995.415</v>
      </c>
      <c r="K822">
        <v>12</v>
      </c>
      <c r="L822" s="16">
        <f t="shared" si="50"/>
        <v>576599.44980000006</v>
      </c>
      <c r="M822">
        <v>0</v>
      </c>
      <c r="N822" s="16">
        <f t="shared" si="51"/>
        <v>0</v>
      </c>
    </row>
    <row r="823" spans="1:14" x14ac:dyDescent="0.25">
      <c r="A823" s="29">
        <v>52</v>
      </c>
      <c r="B823" t="s">
        <v>28</v>
      </c>
      <c r="C823" s="1" t="s">
        <v>29</v>
      </c>
      <c r="D823" t="s">
        <v>1282</v>
      </c>
      <c r="E823" t="s">
        <v>569</v>
      </c>
      <c r="F823">
        <v>1503.11</v>
      </c>
      <c r="G823">
        <v>720</v>
      </c>
      <c r="H823">
        <v>32466.670000000158</v>
      </c>
      <c r="I823" s="31">
        <f t="shared" si="52"/>
        <v>1049772.5299999998</v>
      </c>
      <c r="J823" s="16">
        <f t="shared" si="49"/>
        <v>962291.48583333311</v>
      </c>
      <c r="K823">
        <v>12</v>
      </c>
      <c r="L823" s="16">
        <f t="shared" si="50"/>
        <v>115474.97829999999</v>
      </c>
      <c r="M823">
        <v>0</v>
      </c>
      <c r="N823" s="16">
        <f t="shared" si="51"/>
        <v>0</v>
      </c>
    </row>
    <row r="824" spans="1:14" x14ac:dyDescent="0.25">
      <c r="A824" s="29">
        <v>52</v>
      </c>
      <c r="B824" t="s">
        <v>28</v>
      </c>
      <c r="C824" s="1" t="s">
        <v>29</v>
      </c>
      <c r="D824" t="s">
        <v>1339</v>
      </c>
      <c r="E824" t="s">
        <v>569</v>
      </c>
      <c r="F824">
        <v>4571.63</v>
      </c>
      <c r="G824">
        <v>432</v>
      </c>
      <c r="H824">
        <v>59247.75</v>
      </c>
      <c r="I824" s="31">
        <f t="shared" si="52"/>
        <v>1915696.4100000001</v>
      </c>
      <c r="J824" s="16">
        <f t="shared" si="49"/>
        <v>1756055.0425</v>
      </c>
      <c r="K824">
        <v>12</v>
      </c>
      <c r="L824" s="16">
        <f t="shared" si="50"/>
        <v>210726.60509999999</v>
      </c>
      <c r="M824">
        <v>0</v>
      </c>
      <c r="N824" s="16">
        <f t="shared" si="51"/>
        <v>0</v>
      </c>
    </row>
    <row r="825" spans="1:14" x14ac:dyDescent="0.25">
      <c r="A825" s="29">
        <v>52</v>
      </c>
      <c r="B825" t="s">
        <v>28</v>
      </c>
      <c r="C825" s="1" t="s">
        <v>29</v>
      </c>
      <c r="D825" t="s">
        <v>1231</v>
      </c>
      <c r="E825" t="s">
        <v>569</v>
      </c>
      <c r="F825">
        <v>1503.11</v>
      </c>
      <c r="G825">
        <v>1440</v>
      </c>
      <c r="H825">
        <v>64934.229999999981</v>
      </c>
      <c r="I825" s="31">
        <f t="shared" si="52"/>
        <v>2099544.17</v>
      </c>
      <c r="J825" s="16">
        <f t="shared" ref="J825:J888" si="53">11/12*I825</f>
        <v>1924582.1558333333</v>
      </c>
      <c r="K825">
        <v>12</v>
      </c>
      <c r="L825" s="16">
        <f t="shared" ref="L825:L888" si="54">J825*K825/100</f>
        <v>230949.85869999998</v>
      </c>
      <c r="M825">
        <v>0</v>
      </c>
      <c r="N825" s="16">
        <f t="shared" ref="N825:N888" si="55">M825*J825/100</f>
        <v>0</v>
      </c>
    </row>
    <row r="826" spans="1:14" x14ac:dyDescent="0.25">
      <c r="A826" s="29">
        <v>52</v>
      </c>
      <c r="B826" t="s">
        <v>28</v>
      </c>
      <c r="C826" s="1" t="s">
        <v>29</v>
      </c>
      <c r="D826" t="s">
        <v>1271</v>
      </c>
      <c r="E826" t="s">
        <v>569</v>
      </c>
      <c r="F826">
        <v>1503.11</v>
      </c>
      <c r="G826">
        <v>2160</v>
      </c>
      <c r="H826">
        <v>97400.899999999907</v>
      </c>
      <c r="I826" s="31">
        <f t="shared" si="52"/>
        <v>3149316.6999999997</v>
      </c>
      <c r="J826" s="16">
        <f t="shared" si="53"/>
        <v>2886873.6416666661</v>
      </c>
      <c r="K826">
        <v>12</v>
      </c>
      <c r="L826" s="16">
        <f t="shared" si="54"/>
        <v>346424.83699999994</v>
      </c>
      <c r="M826">
        <v>0</v>
      </c>
      <c r="N826" s="16">
        <f t="shared" si="55"/>
        <v>0</v>
      </c>
    </row>
    <row r="827" spans="1:14" x14ac:dyDescent="0.25">
      <c r="A827" s="29">
        <v>52</v>
      </c>
      <c r="B827" t="s">
        <v>28</v>
      </c>
      <c r="C827" s="1" t="s">
        <v>29</v>
      </c>
      <c r="D827" t="s">
        <v>1227</v>
      </c>
      <c r="E827" t="s">
        <v>569</v>
      </c>
      <c r="F827">
        <v>7411.11</v>
      </c>
      <c r="G827">
        <v>36</v>
      </c>
      <c r="H827">
        <v>8003.6000000000058</v>
      </c>
      <c r="I827" s="31">
        <f t="shared" si="52"/>
        <v>258796.35999999996</v>
      </c>
      <c r="J827" s="16">
        <f t="shared" si="53"/>
        <v>237229.99666666662</v>
      </c>
      <c r="K827">
        <v>12</v>
      </c>
      <c r="L827" s="16">
        <f t="shared" si="54"/>
        <v>28467.599599999994</v>
      </c>
      <c r="M827">
        <v>0</v>
      </c>
      <c r="N827" s="16">
        <f t="shared" si="55"/>
        <v>0</v>
      </c>
    </row>
    <row r="828" spans="1:14" x14ac:dyDescent="0.25">
      <c r="A828" s="29">
        <v>52</v>
      </c>
      <c r="B828" t="s">
        <v>28</v>
      </c>
      <c r="C828" s="1" t="s">
        <v>29</v>
      </c>
      <c r="D828" t="s">
        <v>1421</v>
      </c>
      <c r="E828" t="s">
        <v>569</v>
      </c>
      <c r="F828">
        <v>10213.290000000001</v>
      </c>
      <c r="G828">
        <v>36</v>
      </c>
      <c r="H828">
        <v>11029.729999999981</v>
      </c>
      <c r="I828" s="31">
        <f t="shared" si="52"/>
        <v>356648.71000000008</v>
      </c>
      <c r="J828" s="16">
        <f t="shared" si="53"/>
        <v>326927.98416666675</v>
      </c>
      <c r="K828">
        <v>12</v>
      </c>
      <c r="L828" s="16">
        <f t="shared" si="54"/>
        <v>39231.358100000012</v>
      </c>
      <c r="M828">
        <v>0</v>
      </c>
      <c r="N828" s="16">
        <f t="shared" si="55"/>
        <v>0</v>
      </c>
    </row>
    <row r="829" spans="1:14" x14ac:dyDescent="0.25">
      <c r="A829" s="29">
        <v>52</v>
      </c>
      <c r="B829" t="s">
        <v>28</v>
      </c>
      <c r="C829" s="1" t="s">
        <v>29</v>
      </c>
      <c r="D829" t="s">
        <v>1311</v>
      </c>
      <c r="E829" t="s">
        <v>569</v>
      </c>
      <c r="F829">
        <v>10213.290000000001</v>
      </c>
      <c r="G829">
        <v>36</v>
      </c>
      <c r="H829">
        <v>11029.729999999981</v>
      </c>
      <c r="I829" s="31">
        <f t="shared" si="52"/>
        <v>356648.71000000008</v>
      </c>
      <c r="J829" s="16">
        <f t="shared" si="53"/>
        <v>326927.98416666675</v>
      </c>
      <c r="K829">
        <v>12</v>
      </c>
      <c r="L829" s="16">
        <f t="shared" si="54"/>
        <v>39231.358100000012</v>
      </c>
      <c r="M829">
        <v>0</v>
      </c>
      <c r="N829" s="16">
        <f t="shared" si="55"/>
        <v>0</v>
      </c>
    </row>
    <row r="830" spans="1:14" x14ac:dyDescent="0.25">
      <c r="A830" s="29">
        <v>53</v>
      </c>
      <c r="B830" t="s">
        <v>28</v>
      </c>
      <c r="C830" s="1" t="s">
        <v>29</v>
      </c>
      <c r="D830" t="s">
        <v>1257</v>
      </c>
      <c r="E830" t="s">
        <v>569</v>
      </c>
      <c r="F830">
        <v>3752.74</v>
      </c>
      <c r="G830">
        <v>24</v>
      </c>
      <c r="H830">
        <v>2701.8000000000029</v>
      </c>
      <c r="I830" s="31">
        <f t="shared" si="52"/>
        <v>87363.959999999992</v>
      </c>
      <c r="J830" s="16">
        <f t="shared" si="53"/>
        <v>80083.62999999999</v>
      </c>
      <c r="K830">
        <v>12</v>
      </c>
      <c r="L830" s="16">
        <f t="shared" si="54"/>
        <v>9610.0355999999974</v>
      </c>
      <c r="M830">
        <v>0</v>
      </c>
      <c r="N830" s="16">
        <f t="shared" si="55"/>
        <v>0</v>
      </c>
    </row>
    <row r="831" spans="1:14" x14ac:dyDescent="0.25">
      <c r="A831" s="29">
        <v>53</v>
      </c>
      <c r="B831" t="s">
        <v>28</v>
      </c>
      <c r="C831" s="1" t="s">
        <v>29</v>
      </c>
      <c r="D831" t="s">
        <v>1234</v>
      </c>
      <c r="E831" t="s">
        <v>569</v>
      </c>
      <c r="F831">
        <v>3752.7</v>
      </c>
      <c r="G831">
        <v>12</v>
      </c>
      <c r="H831">
        <v>1351.3499999999985</v>
      </c>
      <c r="I831" s="31">
        <f t="shared" si="52"/>
        <v>43681.049999999996</v>
      </c>
      <c r="J831" s="16">
        <f t="shared" si="53"/>
        <v>40040.962499999994</v>
      </c>
      <c r="K831">
        <v>12</v>
      </c>
      <c r="L831" s="16">
        <f t="shared" si="54"/>
        <v>4804.9154999999992</v>
      </c>
      <c r="M831">
        <v>0</v>
      </c>
      <c r="N831" s="16">
        <f t="shared" si="55"/>
        <v>0</v>
      </c>
    </row>
    <row r="832" spans="1:14" x14ac:dyDescent="0.25">
      <c r="A832" s="29">
        <v>53</v>
      </c>
      <c r="B832" t="s">
        <v>28</v>
      </c>
      <c r="C832" s="1" t="s">
        <v>29</v>
      </c>
      <c r="D832" t="s">
        <v>1235</v>
      </c>
      <c r="E832" t="s">
        <v>569</v>
      </c>
      <c r="F832">
        <v>3752.7</v>
      </c>
      <c r="G832">
        <v>12</v>
      </c>
      <c r="H832">
        <v>1351.3499999999985</v>
      </c>
      <c r="I832" s="31">
        <f t="shared" si="52"/>
        <v>43681.049999999996</v>
      </c>
      <c r="J832" s="16">
        <f t="shared" si="53"/>
        <v>40040.962499999994</v>
      </c>
      <c r="K832">
        <v>12</v>
      </c>
      <c r="L832" s="16">
        <f t="shared" si="54"/>
        <v>4804.9154999999992</v>
      </c>
      <c r="M832">
        <v>0</v>
      </c>
      <c r="N832" s="16">
        <f t="shared" si="55"/>
        <v>0</v>
      </c>
    </row>
    <row r="833" spans="1:14" x14ac:dyDescent="0.25">
      <c r="A833" s="29">
        <v>53</v>
      </c>
      <c r="B833" t="s">
        <v>28</v>
      </c>
      <c r="C833" s="1" t="s">
        <v>29</v>
      </c>
      <c r="D833" t="s">
        <v>1211</v>
      </c>
      <c r="E833" t="s">
        <v>569</v>
      </c>
      <c r="F833">
        <v>3752.73</v>
      </c>
      <c r="G833">
        <v>36</v>
      </c>
      <c r="H833">
        <v>4053.1500000000087</v>
      </c>
      <c r="I833" s="31">
        <f t="shared" si="52"/>
        <v>131045.12999999999</v>
      </c>
      <c r="J833" s="16">
        <f t="shared" si="53"/>
        <v>120124.70249999998</v>
      </c>
      <c r="K833">
        <v>12</v>
      </c>
      <c r="L833" s="16">
        <f t="shared" si="54"/>
        <v>14414.964299999998</v>
      </c>
      <c r="M833">
        <v>0</v>
      </c>
      <c r="N833" s="16">
        <f t="shared" si="55"/>
        <v>0</v>
      </c>
    </row>
    <row r="834" spans="1:14" x14ac:dyDescent="0.25">
      <c r="A834" s="29">
        <v>53</v>
      </c>
      <c r="B834" t="s">
        <v>28</v>
      </c>
      <c r="C834" s="1" t="s">
        <v>29</v>
      </c>
      <c r="D834" t="s">
        <v>1259</v>
      </c>
      <c r="E834" t="s">
        <v>569</v>
      </c>
      <c r="F834">
        <v>4571.62</v>
      </c>
      <c r="G834">
        <v>24</v>
      </c>
      <c r="H834">
        <v>3291.8899999999994</v>
      </c>
      <c r="I834" s="31">
        <f t="shared" si="52"/>
        <v>106426.99</v>
      </c>
      <c r="J834" s="16">
        <f t="shared" si="53"/>
        <v>97558.074166666673</v>
      </c>
      <c r="K834">
        <v>12</v>
      </c>
      <c r="L834" s="16">
        <f t="shared" si="54"/>
        <v>11706.968900000002</v>
      </c>
      <c r="M834">
        <v>0</v>
      </c>
      <c r="N834" s="16">
        <f t="shared" si="55"/>
        <v>0</v>
      </c>
    </row>
    <row r="835" spans="1:14" x14ac:dyDescent="0.25">
      <c r="A835" s="29">
        <v>53</v>
      </c>
      <c r="B835" t="s">
        <v>28</v>
      </c>
      <c r="C835" s="1" t="s">
        <v>29</v>
      </c>
      <c r="D835" t="s">
        <v>1260</v>
      </c>
      <c r="E835" t="s">
        <v>569</v>
      </c>
      <c r="F835">
        <v>3752.74</v>
      </c>
      <c r="G835">
        <v>24</v>
      </c>
      <c r="H835">
        <v>2701.8000000000029</v>
      </c>
      <c r="I835" s="31">
        <f t="shared" ref="I835:I898" si="56">G835*F835-H835</f>
        <v>87363.959999999992</v>
      </c>
      <c r="J835" s="16">
        <f t="shared" si="53"/>
        <v>80083.62999999999</v>
      </c>
      <c r="K835">
        <v>12</v>
      </c>
      <c r="L835" s="16">
        <f t="shared" si="54"/>
        <v>9610.0355999999974</v>
      </c>
      <c r="M835">
        <v>0</v>
      </c>
      <c r="N835" s="16">
        <f t="shared" si="55"/>
        <v>0</v>
      </c>
    </row>
    <row r="836" spans="1:14" x14ac:dyDescent="0.25">
      <c r="A836" s="29">
        <v>53</v>
      </c>
      <c r="B836" t="s">
        <v>28</v>
      </c>
      <c r="C836" s="1" t="s">
        <v>29</v>
      </c>
      <c r="D836" t="s">
        <v>1236</v>
      </c>
      <c r="E836" t="s">
        <v>569</v>
      </c>
      <c r="F836">
        <v>3966.67</v>
      </c>
      <c r="G836">
        <v>24</v>
      </c>
      <c r="H836">
        <v>2855.8600000000006</v>
      </c>
      <c r="I836" s="31">
        <f t="shared" si="56"/>
        <v>92344.22</v>
      </c>
      <c r="J836" s="16">
        <f t="shared" si="53"/>
        <v>84648.868333333332</v>
      </c>
      <c r="K836">
        <v>12</v>
      </c>
      <c r="L836" s="16">
        <f t="shared" si="54"/>
        <v>10157.8642</v>
      </c>
      <c r="M836">
        <v>0</v>
      </c>
      <c r="N836" s="16">
        <f t="shared" si="55"/>
        <v>0</v>
      </c>
    </row>
    <row r="837" spans="1:14" x14ac:dyDescent="0.25">
      <c r="A837" s="29">
        <v>53</v>
      </c>
      <c r="B837" t="s">
        <v>28</v>
      </c>
      <c r="C837" s="1" t="s">
        <v>29</v>
      </c>
      <c r="D837" t="s">
        <v>1237</v>
      </c>
      <c r="E837" t="s">
        <v>569</v>
      </c>
      <c r="F837">
        <v>3966.67</v>
      </c>
      <c r="G837">
        <v>36</v>
      </c>
      <c r="H837">
        <v>4283.7799999999988</v>
      </c>
      <c r="I837" s="31">
        <f t="shared" si="56"/>
        <v>138516.34</v>
      </c>
      <c r="J837" s="16">
        <f t="shared" si="53"/>
        <v>126973.31166666666</v>
      </c>
      <c r="K837">
        <v>12</v>
      </c>
      <c r="L837" s="16">
        <f t="shared" si="54"/>
        <v>15236.797399999999</v>
      </c>
      <c r="M837">
        <v>0</v>
      </c>
      <c r="N837" s="16">
        <f t="shared" si="55"/>
        <v>0</v>
      </c>
    </row>
    <row r="838" spans="1:14" x14ac:dyDescent="0.25">
      <c r="A838" s="29">
        <v>53</v>
      </c>
      <c r="B838" t="s">
        <v>28</v>
      </c>
      <c r="C838" s="1" t="s">
        <v>29</v>
      </c>
      <c r="D838" t="s">
        <v>1277</v>
      </c>
      <c r="E838" t="s">
        <v>569</v>
      </c>
      <c r="F838">
        <v>1503.12</v>
      </c>
      <c r="G838">
        <v>24</v>
      </c>
      <c r="H838">
        <v>1081.9799999999959</v>
      </c>
      <c r="I838" s="31">
        <f t="shared" si="56"/>
        <v>34992.9</v>
      </c>
      <c r="J838" s="16">
        <f t="shared" si="53"/>
        <v>32076.825000000001</v>
      </c>
      <c r="K838">
        <v>12</v>
      </c>
      <c r="L838" s="16">
        <f t="shared" si="54"/>
        <v>3849.2190000000001</v>
      </c>
      <c r="M838">
        <v>0</v>
      </c>
      <c r="N838" s="16">
        <f t="shared" si="55"/>
        <v>0</v>
      </c>
    </row>
    <row r="839" spans="1:14" x14ac:dyDescent="0.25">
      <c r="A839" s="29">
        <v>53</v>
      </c>
      <c r="B839" t="s">
        <v>28</v>
      </c>
      <c r="C839" s="1" t="s">
        <v>29</v>
      </c>
      <c r="D839" t="s">
        <v>1279</v>
      </c>
      <c r="E839" t="s">
        <v>569</v>
      </c>
      <c r="F839">
        <v>1503.12</v>
      </c>
      <c r="G839">
        <v>48</v>
      </c>
      <c r="H839">
        <v>2163.9600000000064</v>
      </c>
      <c r="I839" s="31">
        <f t="shared" si="56"/>
        <v>69985.799999999988</v>
      </c>
      <c r="J839" s="16">
        <f t="shared" si="53"/>
        <v>64153.649999999987</v>
      </c>
      <c r="K839">
        <v>12</v>
      </c>
      <c r="L839" s="16">
        <f t="shared" si="54"/>
        <v>7698.4379999999983</v>
      </c>
      <c r="M839">
        <v>0</v>
      </c>
      <c r="N839" s="16">
        <f t="shared" si="55"/>
        <v>0</v>
      </c>
    </row>
    <row r="840" spans="1:14" x14ac:dyDescent="0.25">
      <c r="A840" s="29">
        <v>53</v>
      </c>
      <c r="B840" t="s">
        <v>28</v>
      </c>
      <c r="C840" s="1" t="s">
        <v>29</v>
      </c>
      <c r="D840" t="s">
        <v>1213</v>
      </c>
      <c r="E840" t="s">
        <v>569</v>
      </c>
      <c r="F840">
        <v>1503.12</v>
      </c>
      <c r="G840">
        <v>24</v>
      </c>
      <c r="H840">
        <v>1081.9799999999959</v>
      </c>
      <c r="I840" s="31">
        <f t="shared" si="56"/>
        <v>34992.9</v>
      </c>
      <c r="J840" s="16">
        <f t="shared" si="53"/>
        <v>32076.825000000001</v>
      </c>
      <c r="K840">
        <v>12</v>
      </c>
      <c r="L840" s="16">
        <f t="shared" si="54"/>
        <v>3849.2190000000001</v>
      </c>
      <c r="M840">
        <v>0</v>
      </c>
      <c r="N840" s="16">
        <f t="shared" si="55"/>
        <v>0</v>
      </c>
    </row>
    <row r="841" spans="1:14" x14ac:dyDescent="0.25">
      <c r="A841" s="29">
        <v>53</v>
      </c>
      <c r="B841" t="s">
        <v>28</v>
      </c>
      <c r="C841" s="1" t="s">
        <v>29</v>
      </c>
      <c r="D841" t="s">
        <v>1281</v>
      </c>
      <c r="E841" t="s">
        <v>569</v>
      </c>
      <c r="F841">
        <v>1503.12</v>
      </c>
      <c r="G841">
        <v>24</v>
      </c>
      <c r="H841">
        <v>1081.9799999999959</v>
      </c>
      <c r="I841" s="31">
        <f t="shared" si="56"/>
        <v>34992.9</v>
      </c>
      <c r="J841" s="16">
        <f t="shared" si="53"/>
        <v>32076.825000000001</v>
      </c>
      <c r="K841">
        <v>12</v>
      </c>
      <c r="L841" s="16">
        <f t="shared" si="54"/>
        <v>3849.2190000000001</v>
      </c>
      <c r="M841">
        <v>0</v>
      </c>
      <c r="N841" s="16">
        <f t="shared" si="55"/>
        <v>0</v>
      </c>
    </row>
    <row r="842" spans="1:14" x14ac:dyDescent="0.25">
      <c r="A842" s="29">
        <v>53</v>
      </c>
      <c r="B842" t="s">
        <v>28</v>
      </c>
      <c r="C842" s="1" t="s">
        <v>29</v>
      </c>
      <c r="D842" t="s">
        <v>1402</v>
      </c>
      <c r="E842" t="s">
        <v>569</v>
      </c>
      <c r="F842">
        <v>4709.01</v>
      </c>
      <c r="G842">
        <v>24</v>
      </c>
      <c r="H842">
        <v>3390.0899999999965</v>
      </c>
      <c r="I842" s="31">
        <f t="shared" si="56"/>
        <v>109626.15000000001</v>
      </c>
      <c r="J842" s="16">
        <f t="shared" si="53"/>
        <v>100490.6375</v>
      </c>
      <c r="K842">
        <v>12</v>
      </c>
      <c r="L842" s="16">
        <f t="shared" si="54"/>
        <v>12058.876499999998</v>
      </c>
      <c r="M842">
        <v>0</v>
      </c>
      <c r="N842" s="16">
        <f t="shared" si="55"/>
        <v>0</v>
      </c>
    </row>
    <row r="843" spans="1:14" x14ac:dyDescent="0.25">
      <c r="A843" s="29">
        <v>53</v>
      </c>
      <c r="B843" t="s">
        <v>28</v>
      </c>
      <c r="C843" s="1" t="s">
        <v>29</v>
      </c>
      <c r="D843" t="s">
        <v>1403</v>
      </c>
      <c r="E843" t="s">
        <v>569</v>
      </c>
      <c r="F843">
        <v>4709.01</v>
      </c>
      <c r="G843">
        <v>24</v>
      </c>
      <c r="H843">
        <v>3390.0899999999965</v>
      </c>
      <c r="I843" s="31">
        <f t="shared" si="56"/>
        <v>109626.15000000001</v>
      </c>
      <c r="J843" s="16">
        <f t="shared" si="53"/>
        <v>100490.6375</v>
      </c>
      <c r="K843">
        <v>12</v>
      </c>
      <c r="L843" s="16">
        <f t="shared" si="54"/>
        <v>12058.876499999998</v>
      </c>
      <c r="M843">
        <v>0</v>
      </c>
      <c r="N843" s="16">
        <f t="shared" si="55"/>
        <v>0</v>
      </c>
    </row>
    <row r="844" spans="1:14" x14ac:dyDescent="0.25">
      <c r="A844" s="29">
        <v>53</v>
      </c>
      <c r="B844" t="s">
        <v>28</v>
      </c>
      <c r="C844" s="1" t="s">
        <v>29</v>
      </c>
      <c r="D844" t="s">
        <v>1314</v>
      </c>
      <c r="E844" t="s">
        <v>569</v>
      </c>
      <c r="F844">
        <v>956.17</v>
      </c>
      <c r="G844">
        <v>250</v>
      </c>
      <c r="H844">
        <v>7171.1699999999837</v>
      </c>
      <c r="I844" s="31">
        <f t="shared" si="56"/>
        <v>231871.33000000002</v>
      </c>
      <c r="J844" s="16">
        <f t="shared" si="53"/>
        <v>212548.71916666668</v>
      </c>
      <c r="K844">
        <v>12</v>
      </c>
      <c r="L844" s="16">
        <f t="shared" si="54"/>
        <v>25505.846299999997</v>
      </c>
      <c r="M844">
        <v>0</v>
      </c>
      <c r="N844" s="16">
        <f t="shared" si="55"/>
        <v>0</v>
      </c>
    </row>
    <row r="845" spans="1:14" x14ac:dyDescent="0.25">
      <c r="A845" s="29">
        <v>53</v>
      </c>
      <c r="B845" t="s">
        <v>28</v>
      </c>
      <c r="C845" s="1" t="s">
        <v>29</v>
      </c>
      <c r="D845" t="s">
        <v>1243</v>
      </c>
      <c r="E845" t="s">
        <v>569</v>
      </c>
      <c r="F845">
        <v>956.17</v>
      </c>
      <c r="G845">
        <v>250</v>
      </c>
      <c r="H845">
        <v>7171.1699999999837</v>
      </c>
      <c r="I845" s="31">
        <f t="shared" si="56"/>
        <v>231871.33000000002</v>
      </c>
      <c r="J845" s="16">
        <f t="shared" si="53"/>
        <v>212548.71916666668</v>
      </c>
      <c r="K845">
        <v>12</v>
      </c>
      <c r="L845" s="16">
        <f t="shared" si="54"/>
        <v>25505.846299999997</v>
      </c>
      <c r="M845">
        <v>0</v>
      </c>
      <c r="N845" s="16">
        <f t="shared" si="55"/>
        <v>0</v>
      </c>
    </row>
    <row r="846" spans="1:14" x14ac:dyDescent="0.25">
      <c r="A846" s="29">
        <v>53</v>
      </c>
      <c r="B846" t="s">
        <v>28</v>
      </c>
      <c r="C846" s="1" t="s">
        <v>29</v>
      </c>
      <c r="D846" t="s">
        <v>1244</v>
      </c>
      <c r="E846" t="s">
        <v>569</v>
      </c>
      <c r="F846">
        <v>956.17</v>
      </c>
      <c r="G846">
        <v>250</v>
      </c>
      <c r="H846">
        <v>7171.1699999999837</v>
      </c>
      <c r="I846" s="31">
        <f t="shared" si="56"/>
        <v>231871.33000000002</v>
      </c>
      <c r="J846" s="16">
        <f t="shared" si="53"/>
        <v>212548.71916666668</v>
      </c>
      <c r="K846">
        <v>12</v>
      </c>
      <c r="L846" s="16">
        <f t="shared" si="54"/>
        <v>25505.846299999997</v>
      </c>
      <c r="M846">
        <v>0</v>
      </c>
      <c r="N846" s="16">
        <f t="shared" si="55"/>
        <v>0</v>
      </c>
    </row>
    <row r="847" spans="1:14" x14ac:dyDescent="0.25">
      <c r="A847" s="29">
        <v>53</v>
      </c>
      <c r="B847" t="s">
        <v>28</v>
      </c>
      <c r="C847" s="1" t="s">
        <v>29</v>
      </c>
      <c r="D847" t="s">
        <v>1397</v>
      </c>
      <c r="E847" t="s">
        <v>569</v>
      </c>
      <c r="F847">
        <v>3117.87</v>
      </c>
      <c r="G847">
        <v>24</v>
      </c>
      <c r="H847">
        <v>2245.0500000000029</v>
      </c>
      <c r="I847" s="31">
        <f t="shared" si="56"/>
        <v>72583.83</v>
      </c>
      <c r="J847" s="16">
        <f t="shared" si="53"/>
        <v>66535.177500000005</v>
      </c>
      <c r="K847">
        <v>12</v>
      </c>
      <c r="L847" s="16">
        <f t="shared" si="54"/>
        <v>7984.2213000000011</v>
      </c>
      <c r="M847">
        <v>0</v>
      </c>
      <c r="N847" s="16">
        <f t="shared" si="55"/>
        <v>0</v>
      </c>
    </row>
    <row r="848" spans="1:14" x14ac:dyDescent="0.25">
      <c r="A848" s="29">
        <v>53</v>
      </c>
      <c r="B848" t="s">
        <v>28</v>
      </c>
      <c r="C848" s="1" t="s">
        <v>29</v>
      </c>
      <c r="D848" t="s">
        <v>1303</v>
      </c>
      <c r="E848" t="s">
        <v>569</v>
      </c>
      <c r="F848">
        <v>3669.97</v>
      </c>
      <c r="G848">
        <v>24</v>
      </c>
      <c r="H848">
        <v>2642.3399999999965</v>
      </c>
      <c r="I848" s="31">
        <f t="shared" si="56"/>
        <v>85436.94</v>
      </c>
      <c r="J848" s="16">
        <f t="shared" si="53"/>
        <v>78317.194999999992</v>
      </c>
      <c r="K848">
        <v>12</v>
      </c>
      <c r="L848" s="16">
        <f t="shared" si="54"/>
        <v>9398.0633999999991</v>
      </c>
      <c r="M848">
        <v>0</v>
      </c>
      <c r="N848" s="16">
        <f t="shared" si="55"/>
        <v>0</v>
      </c>
    </row>
    <row r="849" spans="1:14" x14ac:dyDescent="0.25">
      <c r="A849" s="29">
        <v>53</v>
      </c>
      <c r="B849" t="s">
        <v>28</v>
      </c>
      <c r="C849" s="1" t="s">
        <v>29</v>
      </c>
      <c r="D849" t="s">
        <v>1264</v>
      </c>
      <c r="E849" t="s">
        <v>569</v>
      </c>
      <c r="F849">
        <v>3117.87</v>
      </c>
      <c r="G849">
        <v>24</v>
      </c>
      <c r="H849">
        <v>2245.0500000000029</v>
      </c>
      <c r="I849" s="31">
        <f t="shared" si="56"/>
        <v>72583.83</v>
      </c>
      <c r="J849" s="16">
        <f t="shared" si="53"/>
        <v>66535.177500000005</v>
      </c>
      <c r="K849">
        <v>12</v>
      </c>
      <c r="L849" s="16">
        <f t="shared" si="54"/>
        <v>7984.2213000000011</v>
      </c>
      <c r="M849">
        <v>0</v>
      </c>
      <c r="N849" s="16">
        <f t="shared" si="55"/>
        <v>0</v>
      </c>
    </row>
    <row r="850" spans="1:14" x14ac:dyDescent="0.25">
      <c r="A850" s="29">
        <v>53</v>
      </c>
      <c r="B850" t="s">
        <v>28</v>
      </c>
      <c r="C850" s="1" t="s">
        <v>29</v>
      </c>
      <c r="D850" t="s">
        <v>1216</v>
      </c>
      <c r="E850" t="s">
        <v>569</v>
      </c>
      <c r="F850">
        <v>7411.11</v>
      </c>
      <c r="G850">
        <v>24</v>
      </c>
      <c r="H850">
        <v>5336.0400000000081</v>
      </c>
      <c r="I850" s="31">
        <f t="shared" si="56"/>
        <v>172530.59999999998</v>
      </c>
      <c r="J850" s="16">
        <f t="shared" si="53"/>
        <v>158153.04999999996</v>
      </c>
      <c r="K850">
        <v>12</v>
      </c>
      <c r="L850" s="16">
        <f t="shared" si="54"/>
        <v>18978.365999999995</v>
      </c>
      <c r="M850">
        <v>0</v>
      </c>
      <c r="N850" s="16">
        <f t="shared" si="55"/>
        <v>0</v>
      </c>
    </row>
    <row r="851" spans="1:14" x14ac:dyDescent="0.25">
      <c r="A851" s="29">
        <v>53</v>
      </c>
      <c r="B851" t="s">
        <v>28</v>
      </c>
      <c r="C851" s="1" t="s">
        <v>29</v>
      </c>
      <c r="D851" t="s">
        <v>1217</v>
      </c>
      <c r="E851" t="s">
        <v>569</v>
      </c>
      <c r="F851">
        <v>7411.11</v>
      </c>
      <c r="G851">
        <v>24</v>
      </c>
      <c r="H851">
        <v>5336.0400000000081</v>
      </c>
      <c r="I851" s="31">
        <f t="shared" si="56"/>
        <v>172530.59999999998</v>
      </c>
      <c r="J851" s="16">
        <f t="shared" si="53"/>
        <v>158153.04999999996</v>
      </c>
      <c r="K851">
        <v>12</v>
      </c>
      <c r="L851" s="16">
        <f t="shared" si="54"/>
        <v>18978.365999999995</v>
      </c>
      <c r="M851">
        <v>0</v>
      </c>
      <c r="N851" s="16">
        <f t="shared" si="55"/>
        <v>0</v>
      </c>
    </row>
    <row r="852" spans="1:14" x14ac:dyDescent="0.25">
      <c r="A852" s="29">
        <v>53</v>
      </c>
      <c r="B852" t="s">
        <v>28</v>
      </c>
      <c r="C852" s="1" t="s">
        <v>29</v>
      </c>
      <c r="D852" t="s">
        <v>1221</v>
      </c>
      <c r="E852" t="s">
        <v>569</v>
      </c>
      <c r="F852">
        <v>7411.11</v>
      </c>
      <c r="G852">
        <v>24</v>
      </c>
      <c r="H852">
        <v>5336.0400000000081</v>
      </c>
      <c r="I852" s="31">
        <f t="shared" si="56"/>
        <v>172530.59999999998</v>
      </c>
      <c r="J852" s="16">
        <f t="shared" si="53"/>
        <v>158153.04999999996</v>
      </c>
      <c r="K852">
        <v>12</v>
      </c>
      <c r="L852" s="16">
        <f t="shared" si="54"/>
        <v>18978.365999999995</v>
      </c>
      <c r="M852">
        <v>0</v>
      </c>
      <c r="N852" s="16">
        <f t="shared" si="55"/>
        <v>0</v>
      </c>
    </row>
    <row r="853" spans="1:14" x14ac:dyDescent="0.25">
      <c r="A853" s="29">
        <v>53</v>
      </c>
      <c r="B853" t="s">
        <v>28</v>
      </c>
      <c r="C853" s="1" t="s">
        <v>29</v>
      </c>
      <c r="D853" t="s">
        <v>1374</v>
      </c>
      <c r="E853" t="s">
        <v>569</v>
      </c>
      <c r="F853">
        <v>7411.11</v>
      </c>
      <c r="G853">
        <v>18</v>
      </c>
      <c r="H853">
        <v>4001.8000000000029</v>
      </c>
      <c r="I853" s="31">
        <f t="shared" si="56"/>
        <v>129398.17999999998</v>
      </c>
      <c r="J853" s="16">
        <f t="shared" si="53"/>
        <v>118614.99833333331</v>
      </c>
      <c r="K853">
        <v>12</v>
      </c>
      <c r="L853" s="16">
        <f t="shared" si="54"/>
        <v>14233.799799999997</v>
      </c>
      <c r="M853">
        <v>0</v>
      </c>
      <c r="N853" s="16">
        <f t="shared" si="55"/>
        <v>0</v>
      </c>
    </row>
    <row r="854" spans="1:14" x14ac:dyDescent="0.25">
      <c r="A854" s="29">
        <v>53</v>
      </c>
      <c r="B854" t="s">
        <v>28</v>
      </c>
      <c r="C854" s="1" t="s">
        <v>29</v>
      </c>
      <c r="D854" t="s">
        <v>1222</v>
      </c>
      <c r="E854" t="s">
        <v>569</v>
      </c>
      <c r="F854">
        <v>7411.11</v>
      </c>
      <c r="G854">
        <v>18</v>
      </c>
      <c r="H854">
        <v>4001.8000000000029</v>
      </c>
      <c r="I854" s="31">
        <f t="shared" si="56"/>
        <v>129398.17999999998</v>
      </c>
      <c r="J854" s="16">
        <f t="shared" si="53"/>
        <v>118614.99833333331</v>
      </c>
      <c r="K854">
        <v>12</v>
      </c>
      <c r="L854" s="16">
        <f t="shared" si="54"/>
        <v>14233.799799999997</v>
      </c>
      <c r="M854">
        <v>0</v>
      </c>
      <c r="N854" s="16">
        <f t="shared" si="55"/>
        <v>0</v>
      </c>
    </row>
    <row r="855" spans="1:14" x14ac:dyDescent="0.25">
      <c r="A855" s="29">
        <v>53</v>
      </c>
      <c r="B855" t="s">
        <v>28</v>
      </c>
      <c r="C855" s="1" t="s">
        <v>29</v>
      </c>
      <c r="D855" t="s">
        <v>1223</v>
      </c>
      <c r="E855" t="s">
        <v>569</v>
      </c>
      <c r="F855">
        <v>7411.11</v>
      </c>
      <c r="G855">
        <v>12</v>
      </c>
      <c r="H855">
        <v>2667.570000000007</v>
      </c>
      <c r="I855" s="31">
        <f t="shared" si="56"/>
        <v>86265.749999999985</v>
      </c>
      <c r="J855" s="16">
        <f t="shared" si="53"/>
        <v>79076.937499999985</v>
      </c>
      <c r="K855">
        <v>12</v>
      </c>
      <c r="L855" s="16">
        <f t="shared" si="54"/>
        <v>9489.2324999999983</v>
      </c>
      <c r="M855">
        <v>0</v>
      </c>
      <c r="N855" s="16">
        <f t="shared" si="55"/>
        <v>0</v>
      </c>
    </row>
    <row r="856" spans="1:14" x14ac:dyDescent="0.25">
      <c r="A856" s="29">
        <v>54</v>
      </c>
      <c r="B856" t="s">
        <v>28</v>
      </c>
      <c r="C856" s="1" t="s">
        <v>29</v>
      </c>
      <c r="D856" t="s">
        <v>1258</v>
      </c>
      <c r="E856" t="s">
        <v>569</v>
      </c>
      <c r="F856">
        <v>3752.73</v>
      </c>
      <c r="G856">
        <v>432</v>
      </c>
      <c r="H856">
        <v>48635.14000000013</v>
      </c>
      <c r="I856" s="31">
        <f t="shared" si="56"/>
        <v>1572544.22</v>
      </c>
      <c r="J856" s="16">
        <f t="shared" si="53"/>
        <v>1441498.8683333332</v>
      </c>
      <c r="K856">
        <v>12</v>
      </c>
      <c r="L856" s="16">
        <f t="shared" si="54"/>
        <v>172979.86419999998</v>
      </c>
      <c r="M856">
        <v>0</v>
      </c>
      <c r="N856" s="16">
        <f t="shared" si="55"/>
        <v>0</v>
      </c>
    </row>
    <row r="857" spans="1:14" x14ac:dyDescent="0.25">
      <c r="A857" s="29">
        <v>54</v>
      </c>
      <c r="B857" t="s">
        <v>28</v>
      </c>
      <c r="C857" s="1" t="s">
        <v>29</v>
      </c>
      <c r="D857" t="s">
        <v>1260</v>
      </c>
      <c r="E857" t="s">
        <v>569</v>
      </c>
      <c r="F857">
        <v>3752.73</v>
      </c>
      <c r="G857">
        <v>864</v>
      </c>
      <c r="H857">
        <v>97271.169999999925</v>
      </c>
      <c r="I857" s="31">
        <f t="shared" si="56"/>
        <v>3145087.5500000003</v>
      </c>
      <c r="J857" s="16">
        <f t="shared" si="53"/>
        <v>2882996.9208333334</v>
      </c>
      <c r="K857">
        <v>12</v>
      </c>
      <c r="L857" s="16">
        <f t="shared" si="54"/>
        <v>345959.63049999997</v>
      </c>
      <c r="M857">
        <v>0</v>
      </c>
      <c r="N857" s="16">
        <f t="shared" si="55"/>
        <v>0</v>
      </c>
    </row>
    <row r="858" spans="1:14" x14ac:dyDescent="0.25">
      <c r="A858" s="29">
        <v>54</v>
      </c>
      <c r="B858" t="s">
        <v>28</v>
      </c>
      <c r="C858" s="1" t="s">
        <v>29</v>
      </c>
      <c r="D858" t="s">
        <v>1277</v>
      </c>
      <c r="E858" t="s">
        <v>569</v>
      </c>
      <c r="F858">
        <v>1503.11</v>
      </c>
      <c r="G858">
        <v>288</v>
      </c>
      <c r="H858">
        <v>12987.390000000014</v>
      </c>
      <c r="I858" s="31">
        <f t="shared" si="56"/>
        <v>419908.29</v>
      </c>
      <c r="J858" s="16">
        <f t="shared" si="53"/>
        <v>384915.93249999994</v>
      </c>
      <c r="K858">
        <v>12</v>
      </c>
      <c r="L858" s="16">
        <f t="shared" si="54"/>
        <v>46189.911899999992</v>
      </c>
      <c r="M858">
        <v>0</v>
      </c>
      <c r="N858" s="16">
        <f t="shared" si="55"/>
        <v>0</v>
      </c>
    </row>
    <row r="859" spans="1:14" x14ac:dyDescent="0.25">
      <c r="A859" s="29">
        <v>54</v>
      </c>
      <c r="B859" t="s">
        <v>28</v>
      </c>
      <c r="C859" s="1" t="s">
        <v>29</v>
      </c>
      <c r="D859" t="s">
        <v>1278</v>
      </c>
      <c r="E859" t="s">
        <v>569</v>
      </c>
      <c r="F859">
        <v>1503.11</v>
      </c>
      <c r="G859">
        <v>288</v>
      </c>
      <c r="H859">
        <v>12987.390000000014</v>
      </c>
      <c r="I859" s="31">
        <f t="shared" si="56"/>
        <v>419908.29</v>
      </c>
      <c r="J859" s="16">
        <f t="shared" si="53"/>
        <v>384915.93249999994</v>
      </c>
      <c r="K859">
        <v>12</v>
      </c>
      <c r="L859" s="16">
        <f t="shared" si="54"/>
        <v>46189.911899999992</v>
      </c>
      <c r="M859">
        <v>0</v>
      </c>
      <c r="N859" s="16">
        <f t="shared" si="55"/>
        <v>0</v>
      </c>
    </row>
    <row r="860" spans="1:14" x14ac:dyDescent="0.25">
      <c r="A860" s="29">
        <v>54</v>
      </c>
      <c r="B860" t="s">
        <v>28</v>
      </c>
      <c r="C860" s="1" t="s">
        <v>29</v>
      </c>
      <c r="D860" t="s">
        <v>1212</v>
      </c>
      <c r="E860" t="s">
        <v>569</v>
      </c>
      <c r="F860">
        <v>1503.11</v>
      </c>
      <c r="G860">
        <v>288</v>
      </c>
      <c r="H860">
        <v>12987.390000000014</v>
      </c>
      <c r="I860" s="31">
        <f t="shared" si="56"/>
        <v>419908.29</v>
      </c>
      <c r="J860" s="16">
        <f t="shared" si="53"/>
        <v>384915.93249999994</v>
      </c>
      <c r="K860">
        <v>12</v>
      </c>
      <c r="L860" s="16">
        <f t="shared" si="54"/>
        <v>46189.911899999992</v>
      </c>
      <c r="M860">
        <v>0</v>
      </c>
      <c r="N860" s="16">
        <f t="shared" si="55"/>
        <v>0</v>
      </c>
    </row>
    <row r="861" spans="1:14" x14ac:dyDescent="0.25">
      <c r="A861" s="29">
        <v>54</v>
      </c>
      <c r="B861" t="s">
        <v>28</v>
      </c>
      <c r="C861" s="1" t="s">
        <v>29</v>
      </c>
      <c r="D861" t="s">
        <v>1279</v>
      </c>
      <c r="E861" t="s">
        <v>569</v>
      </c>
      <c r="F861">
        <v>1503.11</v>
      </c>
      <c r="G861">
        <v>432</v>
      </c>
      <c r="H861">
        <v>19480.179999999935</v>
      </c>
      <c r="I861" s="31">
        <f t="shared" si="56"/>
        <v>629863.34</v>
      </c>
      <c r="J861" s="16">
        <f t="shared" si="53"/>
        <v>577374.72833333327</v>
      </c>
      <c r="K861">
        <v>12</v>
      </c>
      <c r="L861" s="16">
        <f t="shared" si="54"/>
        <v>69284.967399999994</v>
      </c>
      <c r="M861">
        <v>0</v>
      </c>
      <c r="N861" s="16">
        <f t="shared" si="55"/>
        <v>0</v>
      </c>
    </row>
    <row r="862" spans="1:14" x14ac:dyDescent="0.25">
      <c r="A862" s="29">
        <v>54</v>
      </c>
      <c r="B862" t="s">
        <v>28</v>
      </c>
      <c r="C862" s="1" t="s">
        <v>29</v>
      </c>
      <c r="D862" t="s">
        <v>1213</v>
      </c>
      <c r="E862" t="s">
        <v>569</v>
      </c>
      <c r="F862">
        <v>1503.11</v>
      </c>
      <c r="G862">
        <v>288</v>
      </c>
      <c r="H862">
        <v>12987.390000000014</v>
      </c>
      <c r="I862" s="31">
        <f t="shared" si="56"/>
        <v>419908.29</v>
      </c>
      <c r="J862" s="16">
        <f t="shared" si="53"/>
        <v>384915.93249999994</v>
      </c>
      <c r="K862">
        <v>12</v>
      </c>
      <c r="L862" s="16">
        <f t="shared" si="54"/>
        <v>46189.911899999992</v>
      </c>
      <c r="M862">
        <v>0</v>
      </c>
      <c r="N862" s="16">
        <f t="shared" si="55"/>
        <v>0</v>
      </c>
    </row>
    <row r="863" spans="1:14" x14ac:dyDescent="0.25">
      <c r="A863" s="29">
        <v>54</v>
      </c>
      <c r="B863" t="s">
        <v>28</v>
      </c>
      <c r="C863" s="1" t="s">
        <v>29</v>
      </c>
      <c r="D863" t="s">
        <v>1215</v>
      </c>
      <c r="E863" t="s">
        <v>569</v>
      </c>
      <c r="F863">
        <v>1503.11</v>
      </c>
      <c r="G863">
        <v>288</v>
      </c>
      <c r="H863">
        <v>12987.390000000014</v>
      </c>
      <c r="I863" s="31">
        <f t="shared" si="56"/>
        <v>419908.29</v>
      </c>
      <c r="J863" s="16">
        <f t="shared" si="53"/>
        <v>384915.93249999994</v>
      </c>
      <c r="K863">
        <v>12</v>
      </c>
      <c r="L863" s="16">
        <f t="shared" si="54"/>
        <v>46189.911899999992</v>
      </c>
      <c r="M863">
        <v>0</v>
      </c>
      <c r="N863" s="16">
        <f t="shared" si="55"/>
        <v>0</v>
      </c>
    </row>
    <row r="864" spans="1:14" x14ac:dyDescent="0.25">
      <c r="A864" s="29">
        <v>54</v>
      </c>
      <c r="B864" t="s">
        <v>28</v>
      </c>
      <c r="C864" s="1" t="s">
        <v>29</v>
      </c>
      <c r="D864" t="s">
        <v>1217</v>
      </c>
      <c r="E864" t="s">
        <v>569</v>
      </c>
      <c r="F864">
        <v>7411.11</v>
      </c>
      <c r="G864">
        <v>108</v>
      </c>
      <c r="H864">
        <v>24011.709999999963</v>
      </c>
      <c r="I864" s="31">
        <f t="shared" si="56"/>
        <v>776388.17</v>
      </c>
      <c r="J864" s="16">
        <f t="shared" si="53"/>
        <v>711689.15583333338</v>
      </c>
      <c r="K864">
        <v>12</v>
      </c>
      <c r="L864" s="16">
        <f t="shared" si="54"/>
        <v>85402.698700000008</v>
      </c>
      <c r="M864">
        <v>0</v>
      </c>
      <c r="N864" s="16">
        <f t="shared" si="55"/>
        <v>0</v>
      </c>
    </row>
    <row r="865" spans="1:14" x14ac:dyDescent="0.25">
      <c r="A865" s="29">
        <v>54</v>
      </c>
      <c r="B865" t="s">
        <v>28</v>
      </c>
      <c r="C865" s="1" t="s">
        <v>29</v>
      </c>
      <c r="D865" t="s">
        <v>1219</v>
      </c>
      <c r="E865" t="s">
        <v>569</v>
      </c>
      <c r="F865">
        <v>7636.11</v>
      </c>
      <c r="G865">
        <v>108</v>
      </c>
      <c r="H865">
        <v>24741.439999999944</v>
      </c>
      <c r="I865" s="31">
        <f t="shared" si="56"/>
        <v>799958.44000000006</v>
      </c>
      <c r="J865" s="16">
        <f t="shared" si="53"/>
        <v>733295.23666666669</v>
      </c>
      <c r="K865">
        <v>12</v>
      </c>
      <c r="L865" s="16">
        <f t="shared" si="54"/>
        <v>87995.428400000004</v>
      </c>
      <c r="M865">
        <v>0</v>
      </c>
      <c r="N865" s="16">
        <f t="shared" si="55"/>
        <v>0</v>
      </c>
    </row>
    <row r="866" spans="1:14" x14ac:dyDescent="0.25">
      <c r="A866" s="29">
        <v>54</v>
      </c>
      <c r="B866" t="s">
        <v>28</v>
      </c>
      <c r="C866" s="1" t="s">
        <v>29</v>
      </c>
      <c r="D866" t="s">
        <v>1375</v>
      </c>
      <c r="E866" t="s">
        <v>569</v>
      </c>
      <c r="F866">
        <v>3752.73</v>
      </c>
      <c r="G866">
        <v>432</v>
      </c>
      <c r="H866">
        <v>48635.14000000013</v>
      </c>
      <c r="I866" s="31">
        <f t="shared" si="56"/>
        <v>1572544.22</v>
      </c>
      <c r="J866" s="16">
        <f t="shared" si="53"/>
        <v>1441498.8683333332</v>
      </c>
      <c r="K866">
        <v>12</v>
      </c>
      <c r="L866" s="16">
        <f t="shared" si="54"/>
        <v>172979.86419999998</v>
      </c>
      <c r="M866">
        <v>0</v>
      </c>
      <c r="N866" s="16">
        <f t="shared" si="55"/>
        <v>0</v>
      </c>
    </row>
    <row r="867" spans="1:14" x14ac:dyDescent="0.25">
      <c r="A867" s="29">
        <v>54</v>
      </c>
      <c r="B867" t="s">
        <v>28</v>
      </c>
      <c r="C867" s="1" t="s">
        <v>29</v>
      </c>
      <c r="D867" t="s">
        <v>1282</v>
      </c>
      <c r="E867" t="s">
        <v>569</v>
      </c>
      <c r="F867">
        <v>1503.11</v>
      </c>
      <c r="G867">
        <v>720</v>
      </c>
      <c r="H867">
        <v>32466.670000000158</v>
      </c>
      <c r="I867" s="31">
        <f t="shared" si="56"/>
        <v>1049772.5299999998</v>
      </c>
      <c r="J867" s="16">
        <f t="shared" si="53"/>
        <v>962291.48583333311</v>
      </c>
      <c r="K867">
        <v>12</v>
      </c>
      <c r="L867" s="16">
        <f t="shared" si="54"/>
        <v>115474.97829999999</v>
      </c>
      <c r="M867">
        <v>0</v>
      </c>
      <c r="N867" s="16">
        <f t="shared" si="55"/>
        <v>0</v>
      </c>
    </row>
    <row r="868" spans="1:14" x14ac:dyDescent="0.25">
      <c r="A868" s="29">
        <v>54</v>
      </c>
      <c r="B868" t="s">
        <v>28</v>
      </c>
      <c r="C868" s="1" t="s">
        <v>29</v>
      </c>
      <c r="D868" t="s">
        <v>1255</v>
      </c>
      <c r="E868" t="s">
        <v>569</v>
      </c>
      <c r="F868">
        <v>3752.73</v>
      </c>
      <c r="G868">
        <v>432</v>
      </c>
      <c r="H868">
        <v>48635.14000000013</v>
      </c>
      <c r="I868" s="31">
        <f t="shared" si="56"/>
        <v>1572544.22</v>
      </c>
      <c r="J868" s="16">
        <f t="shared" si="53"/>
        <v>1441498.8683333332</v>
      </c>
      <c r="K868">
        <v>12</v>
      </c>
      <c r="L868" s="16">
        <f t="shared" si="54"/>
        <v>172979.86419999998</v>
      </c>
      <c r="M868">
        <v>0</v>
      </c>
      <c r="N868" s="16">
        <f t="shared" si="55"/>
        <v>0</v>
      </c>
    </row>
    <row r="869" spans="1:14" x14ac:dyDescent="0.25">
      <c r="A869" s="29">
        <v>54</v>
      </c>
      <c r="B869" t="s">
        <v>28</v>
      </c>
      <c r="C869" s="1" t="s">
        <v>29</v>
      </c>
      <c r="D869" t="s">
        <v>1224</v>
      </c>
      <c r="E869" t="s">
        <v>569</v>
      </c>
      <c r="F869">
        <v>4571.63</v>
      </c>
      <c r="G869">
        <v>144</v>
      </c>
      <c r="H869">
        <v>19748.650000000023</v>
      </c>
      <c r="I869" s="31">
        <f t="shared" si="56"/>
        <v>638566.06999999995</v>
      </c>
      <c r="J869" s="16">
        <f t="shared" si="53"/>
        <v>585352.23083333322</v>
      </c>
      <c r="K869">
        <v>12</v>
      </c>
      <c r="L869" s="16">
        <f t="shared" si="54"/>
        <v>70242.267699999982</v>
      </c>
      <c r="M869">
        <v>0</v>
      </c>
      <c r="N869" s="16">
        <f t="shared" si="55"/>
        <v>0</v>
      </c>
    </row>
    <row r="870" spans="1:14" x14ac:dyDescent="0.25">
      <c r="A870" s="29">
        <v>54</v>
      </c>
      <c r="B870" t="s">
        <v>28</v>
      </c>
      <c r="C870" s="1" t="s">
        <v>29</v>
      </c>
      <c r="D870" t="s">
        <v>1271</v>
      </c>
      <c r="E870" t="s">
        <v>569</v>
      </c>
      <c r="F870">
        <v>1503.11</v>
      </c>
      <c r="G870">
        <v>720</v>
      </c>
      <c r="H870">
        <v>32466.670000000158</v>
      </c>
      <c r="I870" s="31">
        <f t="shared" si="56"/>
        <v>1049772.5299999998</v>
      </c>
      <c r="J870" s="16">
        <f t="shared" si="53"/>
        <v>962291.48583333311</v>
      </c>
      <c r="K870">
        <v>12</v>
      </c>
      <c r="L870" s="16">
        <f t="shared" si="54"/>
        <v>115474.97829999999</v>
      </c>
      <c r="M870">
        <v>0</v>
      </c>
      <c r="N870" s="16">
        <f t="shared" si="55"/>
        <v>0</v>
      </c>
    </row>
    <row r="871" spans="1:14" x14ac:dyDescent="0.25">
      <c r="A871" s="29">
        <v>54</v>
      </c>
      <c r="B871" t="s">
        <v>28</v>
      </c>
      <c r="C871" s="1" t="s">
        <v>29</v>
      </c>
      <c r="D871" t="s">
        <v>1226</v>
      </c>
      <c r="E871" t="s">
        <v>569</v>
      </c>
      <c r="F871">
        <v>7411.11</v>
      </c>
      <c r="G871">
        <v>108</v>
      </c>
      <c r="H871">
        <v>24011.709999999963</v>
      </c>
      <c r="I871" s="31">
        <f t="shared" si="56"/>
        <v>776388.17</v>
      </c>
      <c r="J871" s="16">
        <f t="shared" si="53"/>
        <v>711689.15583333338</v>
      </c>
      <c r="K871">
        <v>12</v>
      </c>
      <c r="L871" s="16">
        <f t="shared" si="54"/>
        <v>85402.698700000008</v>
      </c>
      <c r="M871">
        <v>0</v>
      </c>
      <c r="N871" s="16">
        <f t="shared" si="55"/>
        <v>0</v>
      </c>
    </row>
    <row r="872" spans="1:14" x14ac:dyDescent="0.25">
      <c r="A872" s="29">
        <v>55</v>
      </c>
      <c r="B872" t="s">
        <v>28</v>
      </c>
      <c r="C872" s="1" t="s">
        <v>29</v>
      </c>
      <c r="D872" t="s">
        <v>1258</v>
      </c>
      <c r="E872" t="s">
        <v>569</v>
      </c>
      <c r="F872">
        <v>3752.73</v>
      </c>
      <c r="G872">
        <v>288</v>
      </c>
      <c r="H872">
        <v>32424.319999999949</v>
      </c>
      <c r="I872" s="31">
        <f t="shared" si="56"/>
        <v>1048361.92</v>
      </c>
      <c r="J872" s="16">
        <f t="shared" si="53"/>
        <v>960998.42666666664</v>
      </c>
      <c r="K872">
        <v>12</v>
      </c>
      <c r="L872" s="16">
        <f t="shared" si="54"/>
        <v>115319.8112</v>
      </c>
      <c r="M872">
        <v>0</v>
      </c>
      <c r="N872" s="16">
        <f t="shared" si="55"/>
        <v>0</v>
      </c>
    </row>
    <row r="873" spans="1:14" x14ac:dyDescent="0.25">
      <c r="A873" s="29">
        <v>55</v>
      </c>
      <c r="B873" t="s">
        <v>28</v>
      </c>
      <c r="C873" s="1" t="s">
        <v>29</v>
      </c>
      <c r="D873" t="s">
        <v>1211</v>
      </c>
      <c r="E873" t="s">
        <v>569</v>
      </c>
      <c r="F873">
        <v>3752.73</v>
      </c>
      <c r="G873">
        <v>288</v>
      </c>
      <c r="H873">
        <v>32424.319999999949</v>
      </c>
      <c r="I873" s="31">
        <f t="shared" si="56"/>
        <v>1048361.92</v>
      </c>
      <c r="J873" s="16">
        <f t="shared" si="53"/>
        <v>960998.42666666664</v>
      </c>
      <c r="K873">
        <v>12</v>
      </c>
      <c r="L873" s="16">
        <f t="shared" si="54"/>
        <v>115319.8112</v>
      </c>
      <c r="M873">
        <v>0</v>
      </c>
      <c r="N873" s="16">
        <f t="shared" si="55"/>
        <v>0</v>
      </c>
    </row>
    <row r="874" spans="1:14" x14ac:dyDescent="0.25">
      <c r="A874" s="29">
        <v>55</v>
      </c>
      <c r="B874" t="s">
        <v>28</v>
      </c>
      <c r="C874" s="1" t="s">
        <v>29</v>
      </c>
      <c r="D874" t="s">
        <v>1237</v>
      </c>
      <c r="E874" t="s">
        <v>569</v>
      </c>
      <c r="F874">
        <v>3966.67</v>
      </c>
      <c r="G874">
        <v>144</v>
      </c>
      <c r="H874">
        <v>17136.040000000037</v>
      </c>
      <c r="I874" s="31">
        <f t="shared" si="56"/>
        <v>554064.43999999994</v>
      </c>
      <c r="J874" s="16">
        <f t="shared" si="53"/>
        <v>507892.40333333326</v>
      </c>
      <c r="K874">
        <v>12</v>
      </c>
      <c r="L874" s="16">
        <f t="shared" si="54"/>
        <v>60947.088399999986</v>
      </c>
      <c r="M874">
        <v>0</v>
      </c>
      <c r="N874" s="16">
        <f t="shared" si="55"/>
        <v>0</v>
      </c>
    </row>
    <row r="875" spans="1:14" x14ac:dyDescent="0.25">
      <c r="A875" s="29">
        <v>55</v>
      </c>
      <c r="B875" t="s">
        <v>28</v>
      </c>
      <c r="C875" s="1" t="s">
        <v>29</v>
      </c>
      <c r="D875" t="s">
        <v>1402</v>
      </c>
      <c r="E875" t="s">
        <v>569</v>
      </c>
      <c r="F875">
        <v>4709.0200000000004</v>
      </c>
      <c r="G875">
        <v>144</v>
      </c>
      <c r="H875">
        <v>20343.239999999991</v>
      </c>
      <c r="I875" s="31">
        <f t="shared" si="56"/>
        <v>657755.64000000013</v>
      </c>
      <c r="J875" s="16">
        <f t="shared" si="53"/>
        <v>602942.67000000004</v>
      </c>
      <c r="K875">
        <v>12</v>
      </c>
      <c r="L875" s="16">
        <f t="shared" si="54"/>
        <v>72353.120400000014</v>
      </c>
      <c r="M875">
        <v>0</v>
      </c>
      <c r="N875" s="16">
        <f t="shared" si="55"/>
        <v>0</v>
      </c>
    </row>
    <row r="876" spans="1:14" x14ac:dyDescent="0.25">
      <c r="A876" s="29">
        <v>55</v>
      </c>
      <c r="B876" t="s">
        <v>28</v>
      </c>
      <c r="C876" s="1" t="s">
        <v>29</v>
      </c>
      <c r="D876" t="s">
        <v>1244</v>
      </c>
      <c r="E876" t="s">
        <v>569</v>
      </c>
      <c r="F876">
        <v>956.17</v>
      </c>
      <c r="G876">
        <v>250</v>
      </c>
      <c r="H876">
        <v>7171.1699999999837</v>
      </c>
      <c r="I876" s="31">
        <f t="shared" si="56"/>
        <v>231871.33000000002</v>
      </c>
      <c r="J876" s="16">
        <f t="shared" si="53"/>
        <v>212548.71916666668</v>
      </c>
      <c r="K876">
        <v>12</v>
      </c>
      <c r="L876" s="16">
        <f t="shared" si="54"/>
        <v>25505.846299999997</v>
      </c>
      <c r="M876">
        <v>0</v>
      </c>
      <c r="N876" s="16">
        <f t="shared" si="55"/>
        <v>0</v>
      </c>
    </row>
    <row r="877" spans="1:14" x14ac:dyDescent="0.25">
      <c r="A877" s="29">
        <v>55</v>
      </c>
      <c r="B877" t="s">
        <v>28</v>
      </c>
      <c r="C877" s="1" t="s">
        <v>29</v>
      </c>
      <c r="D877" t="s">
        <v>1220</v>
      </c>
      <c r="E877" t="s">
        <v>569</v>
      </c>
      <c r="F877">
        <v>7411.11</v>
      </c>
      <c r="G877">
        <v>72</v>
      </c>
      <c r="H877">
        <v>16008.109999999986</v>
      </c>
      <c r="I877" s="31">
        <f t="shared" si="56"/>
        <v>517591.80999999994</v>
      </c>
      <c r="J877" s="16">
        <f t="shared" si="53"/>
        <v>474459.15916666662</v>
      </c>
      <c r="K877">
        <v>12</v>
      </c>
      <c r="L877" s="16">
        <f t="shared" si="54"/>
        <v>56935.099099999992</v>
      </c>
      <c r="M877">
        <v>0</v>
      </c>
      <c r="N877" s="16">
        <f t="shared" si="55"/>
        <v>0</v>
      </c>
    </row>
    <row r="878" spans="1:14" x14ac:dyDescent="0.25">
      <c r="A878" s="29">
        <v>55</v>
      </c>
      <c r="B878" t="s">
        <v>28</v>
      </c>
      <c r="C878" s="1" t="s">
        <v>29</v>
      </c>
      <c r="D878" t="s">
        <v>1225</v>
      </c>
      <c r="E878" t="s">
        <v>569</v>
      </c>
      <c r="F878">
        <v>7636.11</v>
      </c>
      <c r="G878">
        <v>36</v>
      </c>
      <c r="H878">
        <v>8246.8499999999767</v>
      </c>
      <c r="I878" s="31">
        <f t="shared" si="56"/>
        <v>266653.11</v>
      </c>
      <c r="J878" s="16">
        <f t="shared" si="53"/>
        <v>244432.01749999999</v>
      </c>
      <c r="K878">
        <v>12</v>
      </c>
      <c r="L878" s="16">
        <f t="shared" si="54"/>
        <v>29331.842099999998</v>
      </c>
      <c r="M878">
        <v>0</v>
      </c>
      <c r="N878" s="16">
        <f t="shared" si="55"/>
        <v>0</v>
      </c>
    </row>
    <row r="879" spans="1:14" x14ac:dyDescent="0.25">
      <c r="A879" s="29">
        <v>55</v>
      </c>
      <c r="B879" t="s">
        <v>28</v>
      </c>
      <c r="C879" s="1" t="s">
        <v>29</v>
      </c>
      <c r="D879" t="s">
        <v>1226</v>
      </c>
      <c r="E879" t="s">
        <v>569</v>
      </c>
      <c r="F879">
        <v>7411.11</v>
      </c>
      <c r="G879">
        <v>72</v>
      </c>
      <c r="H879">
        <v>16008.109999999986</v>
      </c>
      <c r="I879" s="31">
        <f t="shared" si="56"/>
        <v>517591.80999999994</v>
      </c>
      <c r="J879" s="16">
        <f t="shared" si="53"/>
        <v>474459.15916666662</v>
      </c>
      <c r="K879">
        <v>12</v>
      </c>
      <c r="L879" s="16">
        <f t="shared" si="54"/>
        <v>56935.099099999992</v>
      </c>
      <c r="M879">
        <v>0</v>
      </c>
      <c r="N879" s="16">
        <f t="shared" si="55"/>
        <v>0</v>
      </c>
    </row>
    <row r="880" spans="1:14" x14ac:dyDescent="0.25">
      <c r="A880" s="29">
        <v>55</v>
      </c>
      <c r="B880" t="s">
        <v>28</v>
      </c>
      <c r="C880" s="1" t="s">
        <v>29</v>
      </c>
      <c r="D880" t="s">
        <v>1422</v>
      </c>
      <c r="E880" t="s">
        <v>569</v>
      </c>
      <c r="F880">
        <v>10213.290000000001</v>
      </c>
      <c r="G880">
        <v>12</v>
      </c>
      <c r="H880">
        <v>3676.5800000000017</v>
      </c>
      <c r="I880" s="31">
        <f t="shared" si="56"/>
        <v>118882.90000000001</v>
      </c>
      <c r="J880" s="16">
        <f t="shared" si="53"/>
        <v>108975.99166666667</v>
      </c>
      <c r="K880">
        <v>12</v>
      </c>
      <c r="L880" s="16">
        <f t="shared" si="54"/>
        <v>13077.118999999999</v>
      </c>
      <c r="M880">
        <v>0</v>
      </c>
      <c r="N880" s="16">
        <f t="shared" si="55"/>
        <v>0</v>
      </c>
    </row>
    <row r="881" spans="1:14" x14ac:dyDescent="0.25">
      <c r="A881" s="29">
        <v>55</v>
      </c>
      <c r="B881" t="s">
        <v>28</v>
      </c>
      <c r="C881" s="1" t="s">
        <v>29</v>
      </c>
      <c r="D881" t="s">
        <v>1376</v>
      </c>
      <c r="E881" t="s">
        <v>569</v>
      </c>
      <c r="F881">
        <v>10213.290000000001</v>
      </c>
      <c r="G881">
        <v>12</v>
      </c>
      <c r="H881">
        <v>3676.5800000000017</v>
      </c>
      <c r="I881" s="31">
        <f t="shared" si="56"/>
        <v>118882.90000000001</v>
      </c>
      <c r="J881" s="16">
        <f t="shared" si="53"/>
        <v>108975.99166666667</v>
      </c>
      <c r="K881">
        <v>12</v>
      </c>
      <c r="L881" s="16">
        <f t="shared" si="54"/>
        <v>13077.118999999999</v>
      </c>
      <c r="M881">
        <v>0</v>
      </c>
      <c r="N881" s="16">
        <f t="shared" si="55"/>
        <v>0</v>
      </c>
    </row>
    <row r="882" spans="1:14" x14ac:dyDescent="0.25">
      <c r="A882" s="29">
        <v>55</v>
      </c>
      <c r="B882" t="s">
        <v>28</v>
      </c>
      <c r="C882" s="1" t="s">
        <v>29</v>
      </c>
      <c r="D882" t="s">
        <v>1256</v>
      </c>
      <c r="E882" t="s">
        <v>569</v>
      </c>
      <c r="F882">
        <v>3680</v>
      </c>
      <c r="G882">
        <v>100</v>
      </c>
      <c r="H882">
        <v>11039.640000000014</v>
      </c>
      <c r="I882" s="31">
        <f t="shared" si="56"/>
        <v>356960.36</v>
      </c>
      <c r="J882" s="16">
        <f t="shared" si="53"/>
        <v>327213.66333333333</v>
      </c>
      <c r="K882">
        <v>12</v>
      </c>
      <c r="L882" s="16">
        <f t="shared" si="54"/>
        <v>39265.639600000002</v>
      </c>
      <c r="M882">
        <v>0</v>
      </c>
      <c r="N882" s="16">
        <f t="shared" si="55"/>
        <v>0</v>
      </c>
    </row>
    <row r="883" spans="1:14" x14ac:dyDescent="0.25">
      <c r="A883" s="29">
        <v>55</v>
      </c>
      <c r="B883" t="s">
        <v>28</v>
      </c>
      <c r="C883" s="1" t="s">
        <v>29</v>
      </c>
      <c r="D883" t="s">
        <v>1407</v>
      </c>
      <c r="E883" t="s">
        <v>569</v>
      </c>
      <c r="F883">
        <v>10213.290000000001</v>
      </c>
      <c r="G883">
        <v>12</v>
      </c>
      <c r="H883">
        <v>3676.5800000000017</v>
      </c>
      <c r="I883" s="31">
        <f t="shared" si="56"/>
        <v>118882.90000000001</v>
      </c>
      <c r="J883" s="16">
        <f t="shared" si="53"/>
        <v>108975.99166666667</v>
      </c>
      <c r="K883">
        <v>12</v>
      </c>
      <c r="L883" s="16">
        <f t="shared" si="54"/>
        <v>13077.118999999999</v>
      </c>
      <c r="M883">
        <v>0</v>
      </c>
      <c r="N883" s="16">
        <f t="shared" si="55"/>
        <v>0</v>
      </c>
    </row>
    <row r="884" spans="1:14" x14ac:dyDescent="0.25">
      <c r="A884" s="29">
        <v>56</v>
      </c>
      <c r="B884" t="s">
        <v>28</v>
      </c>
      <c r="C884" s="1" t="s">
        <v>29</v>
      </c>
      <c r="D884" t="s">
        <v>1423</v>
      </c>
      <c r="E884" t="s">
        <v>569</v>
      </c>
      <c r="F884">
        <v>25057.3</v>
      </c>
      <c r="G884">
        <v>10</v>
      </c>
      <c r="H884">
        <v>7517.1199999999953</v>
      </c>
      <c r="I884" s="31">
        <f t="shared" si="56"/>
        <v>243055.88</v>
      </c>
      <c r="J884" s="16">
        <f t="shared" si="53"/>
        <v>222801.22333333333</v>
      </c>
      <c r="K884">
        <v>12</v>
      </c>
      <c r="L884" s="16">
        <f t="shared" si="54"/>
        <v>26736.146799999999</v>
      </c>
      <c r="M884">
        <v>0</v>
      </c>
      <c r="N884" s="16">
        <f t="shared" si="55"/>
        <v>0</v>
      </c>
    </row>
    <row r="885" spans="1:14" x14ac:dyDescent="0.25">
      <c r="A885" s="29">
        <v>56</v>
      </c>
      <c r="B885" t="s">
        <v>28</v>
      </c>
      <c r="C885" s="1" t="s">
        <v>29</v>
      </c>
      <c r="D885" t="s">
        <v>1237</v>
      </c>
      <c r="E885" t="s">
        <v>569</v>
      </c>
      <c r="F885">
        <v>3966.67</v>
      </c>
      <c r="G885">
        <v>144</v>
      </c>
      <c r="H885">
        <v>17136.040000000037</v>
      </c>
      <c r="I885" s="31">
        <f t="shared" si="56"/>
        <v>554064.43999999994</v>
      </c>
      <c r="J885" s="16">
        <f t="shared" si="53"/>
        <v>507892.40333333326</v>
      </c>
      <c r="K885">
        <v>12</v>
      </c>
      <c r="L885" s="16">
        <f t="shared" si="54"/>
        <v>60947.088399999986</v>
      </c>
      <c r="M885">
        <v>0</v>
      </c>
      <c r="N885" s="16">
        <f t="shared" si="55"/>
        <v>0</v>
      </c>
    </row>
    <row r="886" spans="1:14" x14ac:dyDescent="0.25">
      <c r="A886" s="29">
        <v>56</v>
      </c>
      <c r="B886" t="s">
        <v>28</v>
      </c>
      <c r="C886" s="1" t="s">
        <v>29</v>
      </c>
      <c r="D886" t="s">
        <v>1239</v>
      </c>
      <c r="E886" t="s">
        <v>569</v>
      </c>
      <c r="F886">
        <v>956.17</v>
      </c>
      <c r="G886">
        <v>150</v>
      </c>
      <c r="H886">
        <v>4302.7000000000116</v>
      </c>
      <c r="I886" s="31">
        <f t="shared" si="56"/>
        <v>139122.79999999999</v>
      </c>
      <c r="J886" s="16">
        <f t="shared" si="53"/>
        <v>127529.23333333332</v>
      </c>
      <c r="K886">
        <v>12</v>
      </c>
      <c r="L886" s="16">
        <f t="shared" si="54"/>
        <v>15303.507999999998</v>
      </c>
      <c r="M886">
        <v>0</v>
      </c>
      <c r="N886" s="16">
        <f t="shared" si="55"/>
        <v>0</v>
      </c>
    </row>
    <row r="887" spans="1:14" x14ac:dyDescent="0.25">
      <c r="A887" s="29">
        <v>56</v>
      </c>
      <c r="B887" t="s">
        <v>28</v>
      </c>
      <c r="C887" s="1" t="s">
        <v>29</v>
      </c>
      <c r="D887" t="s">
        <v>1242</v>
      </c>
      <c r="E887" t="s">
        <v>569</v>
      </c>
      <c r="F887">
        <v>956.18</v>
      </c>
      <c r="G887">
        <v>50</v>
      </c>
      <c r="H887">
        <v>1434.2300000000032</v>
      </c>
      <c r="I887" s="31">
        <f t="shared" si="56"/>
        <v>46374.77</v>
      </c>
      <c r="J887" s="16">
        <f t="shared" si="53"/>
        <v>42510.205833333326</v>
      </c>
      <c r="K887">
        <v>12</v>
      </c>
      <c r="L887" s="16">
        <f t="shared" si="54"/>
        <v>5101.2246999999988</v>
      </c>
      <c r="M887">
        <v>0</v>
      </c>
      <c r="N887" s="16">
        <f t="shared" si="55"/>
        <v>0</v>
      </c>
    </row>
    <row r="888" spans="1:14" x14ac:dyDescent="0.25">
      <c r="A888" s="29">
        <v>56</v>
      </c>
      <c r="B888" t="s">
        <v>28</v>
      </c>
      <c r="C888" s="1" t="s">
        <v>29</v>
      </c>
      <c r="D888" t="s">
        <v>1245</v>
      </c>
      <c r="E888" t="s">
        <v>569</v>
      </c>
      <c r="F888">
        <v>956.18</v>
      </c>
      <c r="G888">
        <v>50</v>
      </c>
      <c r="H888">
        <v>1434.2300000000032</v>
      </c>
      <c r="I888" s="31">
        <f t="shared" si="56"/>
        <v>46374.77</v>
      </c>
      <c r="J888" s="16">
        <f t="shared" si="53"/>
        <v>42510.205833333326</v>
      </c>
      <c r="K888">
        <v>12</v>
      </c>
      <c r="L888" s="16">
        <f t="shared" si="54"/>
        <v>5101.2246999999988</v>
      </c>
      <c r="M888">
        <v>0</v>
      </c>
      <c r="N888" s="16">
        <f t="shared" si="55"/>
        <v>0</v>
      </c>
    </row>
    <row r="889" spans="1:14" x14ac:dyDescent="0.25">
      <c r="A889" s="29">
        <v>56</v>
      </c>
      <c r="B889" t="s">
        <v>28</v>
      </c>
      <c r="C889" s="1" t="s">
        <v>29</v>
      </c>
      <c r="D889" t="s">
        <v>1303</v>
      </c>
      <c r="E889" t="s">
        <v>569</v>
      </c>
      <c r="F889">
        <v>3669.96</v>
      </c>
      <c r="G889">
        <v>72</v>
      </c>
      <c r="H889">
        <v>7927.0299999999988</v>
      </c>
      <c r="I889" s="31">
        <f t="shared" si="56"/>
        <v>256310.09</v>
      </c>
      <c r="J889" s="16">
        <f t="shared" ref="J889:J952" si="57">11/12*I889</f>
        <v>234950.91583333333</v>
      </c>
      <c r="K889">
        <v>12</v>
      </c>
      <c r="L889" s="16">
        <f t="shared" ref="L889:L952" si="58">J889*K889/100</f>
        <v>28194.109900000003</v>
      </c>
      <c r="M889">
        <v>0</v>
      </c>
      <c r="N889" s="16">
        <f t="shared" ref="N889:N952" si="59">M889*J889/100</f>
        <v>0</v>
      </c>
    </row>
    <row r="890" spans="1:14" x14ac:dyDescent="0.25">
      <c r="A890" s="29">
        <v>56</v>
      </c>
      <c r="B890" t="s">
        <v>28</v>
      </c>
      <c r="C890" s="1" t="s">
        <v>29</v>
      </c>
      <c r="D890" t="s">
        <v>1218</v>
      </c>
      <c r="E890" t="s">
        <v>569</v>
      </c>
      <c r="F890">
        <v>7411.11</v>
      </c>
      <c r="G890">
        <v>144</v>
      </c>
      <c r="H890">
        <v>32016.219999999972</v>
      </c>
      <c r="I890" s="31">
        <f t="shared" si="56"/>
        <v>1035183.6199999999</v>
      </c>
      <c r="J890" s="16">
        <f t="shared" si="57"/>
        <v>948918.31833333324</v>
      </c>
      <c r="K890">
        <v>12</v>
      </c>
      <c r="L890" s="16">
        <f t="shared" si="58"/>
        <v>113870.19819999998</v>
      </c>
      <c r="M890">
        <v>0</v>
      </c>
      <c r="N890" s="16">
        <f t="shared" si="59"/>
        <v>0</v>
      </c>
    </row>
    <row r="891" spans="1:14" x14ac:dyDescent="0.25">
      <c r="A891" s="29">
        <v>56</v>
      </c>
      <c r="B891" t="s">
        <v>28</v>
      </c>
      <c r="C891" s="1" t="s">
        <v>29</v>
      </c>
      <c r="D891" t="s">
        <v>1220</v>
      </c>
      <c r="E891" t="s">
        <v>569</v>
      </c>
      <c r="F891">
        <v>7411.11</v>
      </c>
      <c r="G891">
        <v>72</v>
      </c>
      <c r="H891">
        <v>16008.109999999986</v>
      </c>
      <c r="I891" s="31">
        <f t="shared" si="56"/>
        <v>517591.80999999994</v>
      </c>
      <c r="J891" s="16">
        <f t="shared" si="57"/>
        <v>474459.15916666662</v>
      </c>
      <c r="K891">
        <v>12</v>
      </c>
      <c r="L891" s="16">
        <f t="shared" si="58"/>
        <v>56935.099099999992</v>
      </c>
      <c r="M891">
        <v>0</v>
      </c>
      <c r="N891" s="16">
        <f t="shared" si="59"/>
        <v>0</v>
      </c>
    </row>
    <row r="892" spans="1:14" x14ac:dyDescent="0.25">
      <c r="A892" s="29">
        <v>56</v>
      </c>
      <c r="B892" t="s">
        <v>28</v>
      </c>
      <c r="C892" s="1" t="s">
        <v>29</v>
      </c>
      <c r="D892" t="s">
        <v>1380</v>
      </c>
      <c r="E892" t="s">
        <v>569</v>
      </c>
      <c r="F892">
        <v>956.18</v>
      </c>
      <c r="G892">
        <v>50</v>
      </c>
      <c r="H892">
        <v>1434.2300000000032</v>
      </c>
      <c r="I892" s="31">
        <f t="shared" si="56"/>
        <v>46374.77</v>
      </c>
      <c r="J892" s="16">
        <f t="shared" si="57"/>
        <v>42510.205833333326</v>
      </c>
      <c r="K892">
        <v>12</v>
      </c>
      <c r="L892" s="16">
        <f t="shared" si="58"/>
        <v>5101.2246999999988</v>
      </c>
      <c r="M892">
        <v>0</v>
      </c>
      <c r="N892" s="16">
        <f t="shared" si="59"/>
        <v>0</v>
      </c>
    </row>
    <row r="893" spans="1:14" x14ac:dyDescent="0.25">
      <c r="A893" s="29">
        <v>56</v>
      </c>
      <c r="B893" t="s">
        <v>28</v>
      </c>
      <c r="C893" s="1" t="s">
        <v>29</v>
      </c>
      <c r="D893" t="s">
        <v>1363</v>
      </c>
      <c r="E893" t="s">
        <v>569</v>
      </c>
      <c r="F893">
        <v>3752.73</v>
      </c>
      <c r="G893">
        <v>144</v>
      </c>
      <c r="H893">
        <v>16211.710000000021</v>
      </c>
      <c r="I893" s="31">
        <f t="shared" si="56"/>
        <v>524181.41</v>
      </c>
      <c r="J893" s="16">
        <f t="shared" si="57"/>
        <v>480499.6258333333</v>
      </c>
      <c r="K893">
        <v>12</v>
      </c>
      <c r="L893" s="16">
        <f t="shared" si="58"/>
        <v>57659.955099999999</v>
      </c>
      <c r="M893">
        <v>0</v>
      </c>
      <c r="N893" s="16">
        <f t="shared" si="59"/>
        <v>0</v>
      </c>
    </row>
    <row r="894" spans="1:14" x14ac:dyDescent="0.25">
      <c r="A894" s="29">
        <v>56</v>
      </c>
      <c r="B894" t="s">
        <v>28</v>
      </c>
      <c r="C894" s="1" t="s">
        <v>29</v>
      </c>
      <c r="D894" t="s">
        <v>1225</v>
      </c>
      <c r="E894" t="s">
        <v>569</v>
      </c>
      <c r="F894">
        <v>7636.11</v>
      </c>
      <c r="G894">
        <v>36</v>
      </c>
      <c r="H894">
        <v>8246.8499999999767</v>
      </c>
      <c r="I894" s="31">
        <f t="shared" si="56"/>
        <v>266653.11</v>
      </c>
      <c r="J894" s="16">
        <f t="shared" si="57"/>
        <v>244432.01749999999</v>
      </c>
      <c r="K894">
        <v>12</v>
      </c>
      <c r="L894" s="16">
        <f t="shared" si="58"/>
        <v>29331.842099999998</v>
      </c>
      <c r="M894">
        <v>0</v>
      </c>
      <c r="N894" s="16">
        <f t="shared" si="59"/>
        <v>0</v>
      </c>
    </row>
    <row r="895" spans="1:14" x14ac:dyDescent="0.25">
      <c r="A895" s="29">
        <v>56</v>
      </c>
      <c r="B895" t="s">
        <v>28</v>
      </c>
      <c r="C895" s="1" t="s">
        <v>29</v>
      </c>
      <c r="D895" t="s">
        <v>1322</v>
      </c>
      <c r="E895" t="s">
        <v>569</v>
      </c>
      <c r="F895">
        <v>7250</v>
      </c>
      <c r="G895">
        <v>24</v>
      </c>
      <c r="H895">
        <v>5219.820000000007</v>
      </c>
      <c r="I895" s="31">
        <f t="shared" si="56"/>
        <v>168780.18</v>
      </c>
      <c r="J895" s="16">
        <f t="shared" si="57"/>
        <v>154715.16499999998</v>
      </c>
      <c r="K895">
        <v>12</v>
      </c>
      <c r="L895" s="16">
        <f t="shared" si="58"/>
        <v>18565.819799999997</v>
      </c>
      <c r="M895">
        <v>0</v>
      </c>
      <c r="N895" s="16">
        <f t="shared" si="59"/>
        <v>0</v>
      </c>
    </row>
    <row r="896" spans="1:14" x14ac:dyDescent="0.25">
      <c r="A896" s="29">
        <v>56</v>
      </c>
      <c r="B896" t="s">
        <v>28</v>
      </c>
      <c r="C896" s="1" t="s">
        <v>29</v>
      </c>
      <c r="D896" t="s">
        <v>1256</v>
      </c>
      <c r="E896" t="s">
        <v>569</v>
      </c>
      <c r="F896">
        <v>3680</v>
      </c>
      <c r="G896">
        <v>100</v>
      </c>
      <c r="H896">
        <v>11039.640000000014</v>
      </c>
      <c r="I896" s="31">
        <f t="shared" si="56"/>
        <v>356960.36</v>
      </c>
      <c r="J896" s="16">
        <f t="shared" si="57"/>
        <v>327213.66333333333</v>
      </c>
      <c r="K896">
        <v>12</v>
      </c>
      <c r="L896" s="16">
        <f t="shared" si="58"/>
        <v>39265.639600000002</v>
      </c>
      <c r="M896">
        <v>0</v>
      </c>
      <c r="N896" s="16">
        <f t="shared" si="59"/>
        <v>0</v>
      </c>
    </row>
    <row r="897" spans="1:14" x14ac:dyDescent="0.25">
      <c r="A897" s="29">
        <v>56</v>
      </c>
      <c r="B897" t="s">
        <v>28</v>
      </c>
      <c r="C897" s="1" t="s">
        <v>29</v>
      </c>
      <c r="D897" t="s">
        <v>1364</v>
      </c>
      <c r="E897" t="s">
        <v>569</v>
      </c>
      <c r="F897">
        <v>10213.290000000001</v>
      </c>
      <c r="G897">
        <v>36</v>
      </c>
      <c r="H897">
        <v>11029.729999999981</v>
      </c>
      <c r="I897" s="31">
        <f t="shared" si="56"/>
        <v>356648.71000000008</v>
      </c>
      <c r="J897" s="16">
        <f t="shared" si="57"/>
        <v>326927.98416666675</v>
      </c>
      <c r="K897">
        <v>12</v>
      </c>
      <c r="L897" s="16">
        <f t="shared" si="58"/>
        <v>39231.358100000012</v>
      </c>
      <c r="M897">
        <v>0</v>
      </c>
      <c r="N897" s="16">
        <f t="shared" si="59"/>
        <v>0</v>
      </c>
    </row>
    <row r="898" spans="1:14" x14ac:dyDescent="0.25">
      <c r="A898" s="29">
        <v>57</v>
      </c>
      <c r="B898" t="s">
        <v>28</v>
      </c>
      <c r="C898" s="1" t="s">
        <v>29</v>
      </c>
      <c r="D898" t="s">
        <v>1398</v>
      </c>
      <c r="E898" t="s">
        <v>569</v>
      </c>
      <c r="F898">
        <v>3117.87</v>
      </c>
      <c r="G898">
        <v>144</v>
      </c>
      <c r="H898">
        <v>13469.369999999995</v>
      </c>
      <c r="I898" s="31">
        <f t="shared" si="56"/>
        <v>435503.91</v>
      </c>
      <c r="J898" s="16">
        <f t="shared" si="57"/>
        <v>399211.91749999998</v>
      </c>
      <c r="K898">
        <v>12</v>
      </c>
      <c r="L898" s="16">
        <f t="shared" si="58"/>
        <v>47905.430099999998</v>
      </c>
      <c r="M898">
        <v>0</v>
      </c>
      <c r="N898" s="16">
        <f t="shared" si="59"/>
        <v>0</v>
      </c>
    </row>
    <row r="899" spans="1:14" x14ac:dyDescent="0.25">
      <c r="A899" s="29">
        <v>57</v>
      </c>
      <c r="B899" t="s">
        <v>28</v>
      </c>
      <c r="C899" s="1" t="s">
        <v>29</v>
      </c>
      <c r="D899" t="s">
        <v>1264</v>
      </c>
      <c r="E899" t="s">
        <v>569</v>
      </c>
      <c r="F899">
        <v>3117.87</v>
      </c>
      <c r="G899">
        <v>144</v>
      </c>
      <c r="H899">
        <v>13469.369999999995</v>
      </c>
      <c r="I899" s="31">
        <f t="shared" ref="I899:I958" si="60">G899*F899-H899</f>
        <v>435503.91</v>
      </c>
      <c r="J899" s="16">
        <f t="shared" si="57"/>
        <v>399211.91749999998</v>
      </c>
      <c r="K899">
        <v>12</v>
      </c>
      <c r="L899" s="16">
        <f t="shared" si="58"/>
        <v>47905.430099999998</v>
      </c>
      <c r="M899">
        <v>0</v>
      </c>
      <c r="N899" s="16">
        <f t="shared" si="59"/>
        <v>0</v>
      </c>
    </row>
    <row r="900" spans="1:14" x14ac:dyDescent="0.25">
      <c r="A900" s="29">
        <v>57</v>
      </c>
      <c r="B900" t="s">
        <v>28</v>
      </c>
      <c r="C900" s="1" t="s">
        <v>29</v>
      </c>
      <c r="D900" t="s">
        <v>1217</v>
      </c>
      <c r="E900" t="s">
        <v>569</v>
      </c>
      <c r="F900">
        <v>7411.11</v>
      </c>
      <c r="G900">
        <v>108</v>
      </c>
      <c r="H900">
        <v>24011.709999999963</v>
      </c>
      <c r="I900" s="31">
        <f t="shared" si="60"/>
        <v>776388.17</v>
      </c>
      <c r="J900" s="16">
        <f t="shared" si="57"/>
        <v>711689.15583333338</v>
      </c>
      <c r="K900">
        <v>12</v>
      </c>
      <c r="L900" s="16">
        <f t="shared" si="58"/>
        <v>85402.698700000008</v>
      </c>
      <c r="M900">
        <v>0</v>
      </c>
      <c r="N900" s="16">
        <f t="shared" si="59"/>
        <v>0</v>
      </c>
    </row>
    <row r="901" spans="1:14" x14ac:dyDescent="0.25">
      <c r="A901" s="29">
        <v>57</v>
      </c>
      <c r="B901" t="s">
        <v>28</v>
      </c>
      <c r="C901" s="1" t="s">
        <v>29</v>
      </c>
      <c r="D901" t="s">
        <v>1218</v>
      </c>
      <c r="E901" t="s">
        <v>569</v>
      </c>
      <c r="F901">
        <v>7411.11</v>
      </c>
      <c r="G901">
        <v>180</v>
      </c>
      <c r="H901">
        <v>40019.820000000065</v>
      </c>
      <c r="I901" s="31">
        <f t="shared" si="60"/>
        <v>1293979.98</v>
      </c>
      <c r="J901" s="16">
        <f t="shared" si="57"/>
        <v>1186148.3149999999</v>
      </c>
      <c r="K901">
        <v>12</v>
      </c>
      <c r="L901" s="16">
        <f t="shared" si="58"/>
        <v>142337.7978</v>
      </c>
      <c r="M901">
        <v>0</v>
      </c>
      <c r="N901" s="16">
        <f t="shared" si="59"/>
        <v>0</v>
      </c>
    </row>
    <row r="902" spans="1:14" x14ac:dyDescent="0.25">
      <c r="A902" s="29">
        <v>57</v>
      </c>
      <c r="B902" t="s">
        <v>28</v>
      </c>
      <c r="C902" s="1" t="s">
        <v>29</v>
      </c>
      <c r="D902" t="s">
        <v>1232</v>
      </c>
      <c r="E902" t="s">
        <v>569</v>
      </c>
      <c r="F902">
        <v>3104.5</v>
      </c>
      <c r="G902">
        <v>72</v>
      </c>
      <c r="H902">
        <v>6706.3099999999977</v>
      </c>
      <c r="I902" s="31">
        <f t="shared" si="60"/>
        <v>216817.69</v>
      </c>
      <c r="J902" s="16">
        <f t="shared" si="57"/>
        <v>198749.54916666666</v>
      </c>
      <c r="K902">
        <v>12</v>
      </c>
      <c r="L902" s="16">
        <f t="shared" si="58"/>
        <v>23849.945899999999</v>
      </c>
      <c r="M902">
        <v>0</v>
      </c>
      <c r="N902" s="16">
        <f t="shared" si="59"/>
        <v>0</v>
      </c>
    </row>
    <row r="903" spans="1:14" x14ac:dyDescent="0.25">
      <c r="A903" s="29">
        <v>57</v>
      </c>
      <c r="B903" t="s">
        <v>28</v>
      </c>
      <c r="C903" s="1" t="s">
        <v>29</v>
      </c>
      <c r="D903" t="s">
        <v>1228</v>
      </c>
      <c r="E903" t="s">
        <v>569</v>
      </c>
      <c r="F903">
        <v>7250</v>
      </c>
      <c r="G903">
        <v>48</v>
      </c>
      <c r="H903">
        <v>10439.640000000014</v>
      </c>
      <c r="I903" s="31">
        <f t="shared" si="60"/>
        <v>337560.36</v>
      </c>
      <c r="J903" s="16">
        <f t="shared" si="57"/>
        <v>309430.32999999996</v>
      </c>
      <c r="K903">
        <v>12</v>
      </c>
      <c r="L903" s="16">
        <f t="shared" si="58"/>
        <v>37131.639599999995</v>
      </c>
      <c r="M903">
        <v>0</v>
      </c>
      <c r="N903" s="16">
        <f t="shared" si="59"/>
        <v>0</v>
      </c>
    </row>
    <row r="904" spans="1:14" x14ac:dyDescent="0.25">
      <c r="A904" s="29">
        <v>57</v>
      </c>
      <c r="B904" t="s">
        <v>28</v>
      </c>
      <c r="C904" s="1" t="s">
        <v>29</v>
      </c>
      <c r="D904" t="s">
        <v>1229</v>
      </c>
      <c r="E904" t="s">
        <v>569</v>
      </c>
      <c r="F904">
        <v>7250</v>
      </c>
      <c r="G904">
        <v>24</v>
      </c>
      <c r="H904">
        <v>5219.820000000007</v>
      </c>
      <c r="I904" s="31">
        <f t="shared" si="60"/>
        <v>168780.18</v>
      </c>
      <c r="J904" s="16">
        <f t="shared" si="57"/>
        <v>154715.16499999998</v>
      </c>
      <c r="K904">
        <v>12</v>
      </c>
      <c r="L904" s="16">
        <f t="shared" si="58"/>
        <v>18565.819799999997</v>
      </c>
      <c r="M904">
        <v>0</v>
      </c>
      <c r="N904" s="16">
        <f t="shared" si="59"/>
        <v>0</v>
      </c>
    </row>
    <row r="905" spans="1:14" x14ac:dyDescent="0.25">
      <c r="A905" s="29">
        <v>57</v>
      </c>
      <c r="B905" t="s">
        <v>28</v>
      </c>
      <c r="C905" s="1" t="s">
        <v>29</v>
      </c>
      <c r="D905" t="s">
        <v>1422</v>
      </c>
      <c r="E905" t="s">
        <v>569</v>
      </c>
      <c r="F905">
        <v>10213.290000000001</v>
      </c>
      <c r="G905">
        <v>12</v>
      </c>
      <c r="H905">
        <v>3676.5800000000017</v>
      </c>
      <c r="I905" s="31">
        <f t="shared" si="60"/>
        <v>118882.90000000001</v>
      </c>
      <c r="J905" s="16">
        <f t="shared" si="57"/>
        <v>108975.99166666667</v>
      </c>
      <c r="K905">
        <v>12</v>
      </c>
      <c r="L905" s="16">
        <f t="shared" si="58"/>
        <v>13077.118999999999</v>
      </c>
      <c r="M905">
        <v>0</v>
      </c>
      <c r="N905" s="16">
        <f t="shared" si="59"/>
        <v>0</v>
      </c>
    </row>
    <row r="906" spans="1:14" x14ac:dyDescent="0.25">
      <c r="A906" s="29">
        <v>57</v>
      </c>
      <c r="B906" t="s">
        <v>28</v>
      </c>
      <c r="C906" s="1" t="s">
        <v>29</v>
      </c>
      <c r="D906" t="s">
        <v>1421</v>
      </c>
      <c r="E906" t="s">
        <v>569</v>
      </c>
      <c r="F906">
        <v>10213.290000000001</v>
      </c>
      <c r="G906">
        <v>12</v>
      </c>
      <c r="H906">
        <v>3676.5800000000017</v>
      </c>
      <c r="I906" s="31">
        <f t="shared" si="60"/>
        <v>118882.90000000001</v>
      </c>
      <c r="J906" s="16">
        <f t="shared" si="57"/>
        <v>108975.99166666667</v>
      </c>
      <c r="K906">
        <v>12</v>
      </c>
      <c r="L906" s="16">
        <f t="shared" si="58"/>
        <v>13077.118999999999</v>
      </c>
      <c r="M906">
        <v>0</v>
      </c>
      <c r="N906" s="16">
        <f t="shared" si="59"/>
        <v>0</v>
      </c>
    </row>
    <row r="907" spans="1:14" x14ac:dyDescent="0.25">
      <c r="A907" s="29">
        <v>57</v>
      </c>
      <c r="B907" t="s">
        <v>28</v>
      </c>
      <c r="C907" s="1" t="s">
        <v>29</v>
      </c>
      <c r="D907" t="s">
        <v>1376</v>
      </c>
      <c r="E907" t="s">
        <v>569</v>
      </c>
      <c r="F907">
        <v>10213.290000000001</v>
      </c>
      <c r="G907">
        <v>24</v>
      </c>
      <c r="H907">
        <v>7354.0500000000175</v>
      </c>
      <c r="I907" s="31">
        <f t="shared" si="60"/>
        <v>237764.91</v>
      </c>
      <c r="J907" s="16">
        <f t="shared" si="57"/>
        <v>217951.16749999998</v>
      </c>
      <c r="K907">
        <v>12</v>
      </c>
      <c r="L907" s="16">
        <f t="shared" si="58"/>
        <v>26154.140099999997</v>
      </c>
      <c r="M907">
        <v>0</v>
      </c>
      <c r="N907" s="16">
        <f t="shared" si="59"/>
        <v>0</v>
      </c>
    </row>
    <row r="908" spans="1:14" x14ac:dyDescent="0.25">
      <c r="A908" s="29">
        <v>57</v>
      </c>
      <c r="B908" t="s">
        <v>28</v>
      </c>
      <c r="C908" s="1" t="s">
        <v>29</v>
      </c>
      <c r="D908" t="s">
        <v>1310</v>
      </c>
      <c r="E908" t="s">
        <v>569</v>
      </c>
      <c r="F908">
        <v>7250</v>
      </c>
      <c r="G908">
        <v>48</v>
      </c>
      <c r="H908">
        <v>10439.640000000014</v>
      </c>
      <c r="I908" s="31">
        <f t="shared" si="60"/>
        <v>337560.36</v>
      </c>
      <c r="J908" s="16">
        <f t="shared" si="57"/>
        <v>309430.32999999996</v>
      </c>
      <c r="K908">
        <v>12</v>
      </c>
      <c r="L908" s="16">
        <f t="shared" si="58"/>
        <v>37131.639599999995</v>
      </c>
      <c r="M908">
        <v>0</v>
      </c>
      <c r="N908" s="16">
        <f t="shared" si="59"/>
        <v>0</v>
      </c>
    </row>
    <row r="909" spans="1:14" x14ac:dyDescent="0.25">
      <c r="A909" s="29">
        <v>58</v>
      </c>
      <c r="B909" t="s">
        <v>28</v>
      </c>
      <c r="C909" s="1" t="s">
        <v>29</v>
      </c>
      <c r="D909" t="s">
        <v>1287</v>
      </c>
      <c r="E909" t="s">
        <v>569</v>
      </c>
      <c r="F909">
        <v>5463.96</v>
      </c>
      <c r="G909">
        <v>600</v>
      </c>
      <c r="H909">
        <v>80663.069999999832</v>
      </c>
      <c r="I909" s="31">
        <f t="shared" si="60"/>
        <v>3197712.93</v>
      </c>
      <c r="J909" s="16">
        <f t="shared" si="57"/>
        <v>2931236.8525</v>
      </c>
      <c r="K909">
        <v>12</v>
      </c>
      <c r="L909" s="16">
        <f t="shared" si="58"/>
        <v>351748.42230000003</v>
      </c>
      <c r="M909">
        <v>0</v>
      </c>
      <c r="N909" s="16">
        <f t="shared" si="59"/>
        <v>0</v>
      </c>
    </row>
    <row r="910" spans="1:14" x14ac:dyDescent="0.25">
      <c r="A910" s="29">
        <v>58</v>
      </c>
      <c r="B910" t="s">
        <v>28</v>
      </c>
      <c r="C910" s="1" t="s">
        <v>29</v>
      </c>
      <c r="D910" t="s">
        <v>1424</v>
      </c>
      <c r="E910" t="s">
        <v>569</v>
      </c>
      <c r="F910">
        <v>26126.13</v>
      </c>
      <c r="G910">
        <v>36</v>
      </c>
      <c r="H910">
        <v>23141.440000000061</v>
      </c>
      <c r="I910" s="31">
        <f t="shared" si="60"/>
        <v>917399.24</v>
      </c>
      <c r="J910" s="16">
        <f t="shared" si="57"/>
        <v>840949.30333333334</v>
      </c>
      <c r="K910">
        <v>12</v>
      </c>
      <c r="L910" s="16">
        <f t="shared" si="58"/>
        <v>100913.9164</v>
      </c>
      <c r="M910">
        <v>0</v>
      </c>
      <c r="N910" s="16">
        <f t="shared" si="59"/>
        <v>0</v>
      </c>
    </row>
    <row r="911" spans="1:14" x14ac:dyDescent="0.25">
      <c r="A911" s="29">
        <v>58</v>
      </c>
      <c r="B911" t="s">
        <v>28</v>
      </c>
      <c r="C911" s="1" t="s">
        <v>29</v>
      </c>
      <c r="D911" t="s">
        <v>1425</v>
      </c>
      <c r="E911" t="s">
        <v>569</v>
      </c>
      <c r="F911">
        <v>16576.580000000002</v>
      </c>
      <c r="G911">
        <v>47</v>
      </c>
      <c r="H911">
        <v>19169.369999999995</v>
      </c>
      <c r="I911" s="31">
        <f t="shared" si="60"/>
        <v>759929.89000000013</v>
      </c>
      <c r="J911" s="16">
        <f t="shared" si="57"/>
        <v>696602.39916666679</v>
      </c>
      <c r="K911">
        <v>12</v>
      </c>
      <c r="L911" s="16">
        <f t="shared" si="58"/>
        <v>83592.28790000001</v>
      </c>
      <c r="M911">
        <v>0</v>
      </c>
      <c r="N911" s="16">
        <f t="shared" si="59"/>
        <v>0</v>
      </c>
    </row>
    <row r="912" spans="1:14" x14ac:dyDescent="0.25">
      <c r="A912" s="29">
        <v>58</v>
      </c>
      <c r="B912" t="s">
        <v>28</v>
      </c>
      <c r="C912" s="1" t="s">
        <v>29</v>
      </c>
      <c r="D912" t="s">
        <v>1294</v>
      </c>
      <c r="E912" t="s">
        <v>569</v>
      </c>
      <c r="F912">
        <v>9009.01</v>
      </c>
      <c r="G912">
        <v>48</v>
      </c>
      <c r="H912">
        <v>10639.640000000014</v>
      </c>
      <c r="I912" s="31">
        <f t="shared" si="60"/>
        <v>421792.83999999997</v>
      </c>
      <c r="J912" s="16">
        <f t="shared" si="57"/>
        <v>386643.43666666665</v>
      </c>
      <c r="K912">
        <v>12</v>
      </c>
      <c r="L912" s="16">
        <f t="shared" si="58"/>
        <v>46397.212400000004</v>
      </c>
      <c r="M912">
        <v>0</v>
      </c>
      <c r="N912" s="16">
        <f t="shared" si="59"/>
        <v>0</v>
      </c>
    </row>
    <row r="913" spans="1:14" x14ac:dyDescent="0.25">
      <c r="A913" s="29">
        <v>58</v>
      </c>
      <c r="B913" t="s">
        <v>28</v>
      </c>
      <c r="C913" s="1" t="s">
        <v>29</v>
      </c>
      <c r="D913" t="s">
        <v>1372</v>
      </c>
      <c r="E913" t="s">
        <v>569</v>
      </c>
      <c r="F913">
        <v>9009.01</v>
      </c>
      <c r="G913">
        <v>32</v>
      </c>
      <c r="H913">
        <v>7092.789999999979</v>
      </c>
      <c r="I913" s="31">
        <f t="shared" si="60"/>
        <v>281195.53000000003</v>
      </c>
      <c r="J913" s="16">
        <f t="shared" si="57"/>
        <v>257762.56916666668</v>
      </c>
      <c r="K913">
        <v>12</v>
      </c>
      <c r="L913" s="16">
        <f t="shared" si="58"/>
        <v>30931.508300000001</v>
      </c>
      <c r="M913">
        <v>0</v>
      </c>
      <c r="N913" s="16">
        <f t="shared" si="59"/>
        <v>0</v>
      </c>
    </row>
    <row r="914" spans="1:14" x14ac:dyDescent="0.25">
      <c r="A914" s="29">
        <v>58</v>
      </c>
      <c r="B914" t="s">
        <v>28</v>
      </c>
      <c r="C914" s="1" t="s">
        <v>29</v>
      </c>
      <c r="D914" t="s">
        <v>1285</v>
      </c>
      <c r="E914" t="s">
        <v>569</v>
      </c>
      <c r="F914">
        <v>19478.939999999999</v>
      </c>
      <c r="G914">
        <v>200</v>
      </c>
      <c r="H914">
        <v>95854.060000000056</v>
      </c>
      <c r="I914" s="31">
        <f t="shared" si="60"/>
        <v>3799933.9399999995</v>
      </c>
      <c r="J914" s="16">
        <f t="shared" si="57"/>
        <v>3483272.7783333329</v>
      </c>
      <c r="K914">
        <v>12</v>
      </c>
      <c r="L914" s="16">
        <f t="shared" si="58"/>
        <v>417992.73339999997</v>
      </c>
      <c r="M914">
        <v>0</v>
      </c>
      <c r="N914" s="16">
        <f t="shared" si="59"/>
        <v>0</v>
      </c>
    </row>
    <row r="915" spans="1:14" x14ac:dyDescent="0.25">
      <c r="A915" s="29">
        <v>59</v>
      </c>
      <c r="B915" t="s">
        <v>28</v>
      </c>
      <c r="C915" s="1" t="s">
        <v>29</v>
      </c>
      <c r="D915" t="s">
        <v>1333</v>
      </c>
      <c r="E915" t="s">
        <v>569</v>
      </c>
      <c r="F915">
        <v>202252.25</v>
      </c>
      <c r="G915">
        <v>15</v>
      </c>
      <c r="H915">
        <v>545945.94999999995</v>
      </c>
      <c r="I915" s="31">
        <f t="shared" si="60"/>
        <v>2487837.7999999998</v>
      </c>
      <c r="J915" s="16">
        <f t="shared" si="57"/>
        <v>2280517.9833333329</v>
      </c>
      <c r="K915">
        <v>12</v>
      </c>
      <c r="L915" s="16">
        <f t="shared" si="58"/>
        <v>273662.158</v>
      </c>
      <c r="M915">
        <v>0</v>
      </c>
      <c r="N915" s="16">
        <f t="shared" si="59"/>
        <v>0</v>
      </c>
    </row>
    <row r="916" spans="1:14" x14ac:dyDescent="0.25">
      <c r="A916" s="29">
        <v>60</v>
      </c>
      <c r="B916" t="s">
        <v>28</v>
      </c>
      <c r="C916" s="1" t="s">
        <v>29</v>
      </c>
      <c r="D916" t="s">
        <v>1388</v>
      </c>
      <c r="E916" t="s">
        <v>569</v>
      </c>
      <c r="F916">
        <v>45675.68</v>
      </c>
      <c r="G916">
        <v>36</v>
      </c>
      <c r="H916">
        <v>327567.57</v>
      </c>
      <c r="I916" s="31">
        <f t="shared" si="60"/>
        <v>1316756.9099999999</v>
      </c>
      <c r="J916" s="16">
        <f t="shared" si="57"/>
        <v>1207027.1675</v>
      </c>
      <c r="K916">
        <v>12</v>
      </c>
      <c r="L916" s="16">
        <f t="shared" si="58"/>
        <v>144843.26009999998</v>
      </c>
      <c r="M916">
        <v>0</v>
      </c>
      <c r="N916" s="16">
        <f t="shared" si="59"/>
        <v>0</v>
      </c>
    </row>
    <row r="917" spans="1:14" x14ac:dyDescent="0.25">
      <c r="A917" s="29">
        <v>60</v>
      </c>
      <c r="B917" t="s">
        <v>28</v>
      </c>
      <c r="C917" s="1" t="s">
        <v>29</v>
      </c>
      <c r="D917" t="s">
        <v>1332</v>
      </c>
      <c r="E917" t="s">
        <v>569</v>
      </c>
      <c r="F917">
        <v>176846.85</v>
      </c>
      <c r="G917">
        <v>20</v>
      </c>
      <c r="H917">
        <v>708108.1100000001</v>
      </c>
      <c r="I917" s="31">
        <f t="shared" si="60"/>
        <v>2828828.8899999997</v>
      </c>
      <c r="J917" s="16">
        <f t="shared" si="57"/>
        <v>2593093.1491666664</v>
      </c>
      <c r="K917">
        <v>12</v>
      </c>
      <c r="L917" s="16">
        <f t="shared" si="58"/>
        <v>311171.17790000001</v>
      </c>
      <c r="M917">
        <v>0</v>
      </c>
      <c r="N917" s="16">
        <f t="shared" si="59"/>
        <v>0</v>
      </c>
    </row>
    <row r="918" spans="1:14" x14ac:dyDescent="0.25">
      <c r="A918" s="29">
        <v>60</v>
      </c>
      <c r="B918" t="s">
        <v>28</v>
      </c>
      <c r="C918" s="1" t="s">
        <v>29</v>
      </c>
      <c r="D918" t="s">
        <v>1382</v>
      </c>
      <c r="E918" t="s">
        <v>569</v>
      </c>
      <c r="F918">
        <v>61531.53</v>
      </c>
      <c r="G918">
        <v>60</v>
      </c>
      <c r="H918">
        <v>1013513.51</v>
      </c>
      <c r="I918" s="31">
        <f t="shared" si="60"/>
        <v>2678378.29</v>
      </c>
      <c r="J918" s="16">
        <f t="shared" si="57"/>
        <v>2455180.0991666666</v>
      </c>
      <c r="K918">
        <v>12</v>
      </c>
      <c r="L918" s="16">
        <f t="shared" si="58"/>
        <v>294621.61189999996</v>
      </c>
      <c r="M918">
        <v>0</v>
      </c>
      <c r="N918" s="16">
        <f t="shared" si="59"/>
        <v>0</v>
      </c>
    </row>
    <row r="919" spans="1:14" x14ac:dyDescent="0.25">
      <c r="A919" s="29">
        <v>60</v>
      </c>
      <c r="B919" t="s">
        <v>28</v>
      </c>
      <c r="C919" s="1" t="s">
        <v>29</v>
      </c>
      <c r="D919" t="s">
        <v>1336</v>
      </c>
      <c r="E919" t="s">
        <v>569</v>
      </c>
      <c r="F919">
        <v>299099.09999999998</v>
      </c>
      <c r="G919">
        <v>60</v>
      </c>
      <c r="H919">
        <v>4959459.46</v>
      </c>
      <c r="I919" s="31">
        <f t="shared" si="60"/>
        <v>12986486.539999999</v>
      </c>
      <c r="J919" s="16">
        <f t="shared" si="57"/>
        <v>11904279.328333331</v>
      </c>
      <c r="K919">
        <v>12</v>
      </c>
      <c r="L919" s="16">
        <f t="shared" si="58"/>
        <v>1428513.5193999996</v>
      </c>
      <c r="M919">
        <v>0</v>
      </c>
      <c r="N919" s="16">
        <f t="shared" si="59"/>
        <v>0</v>
      </c>
    </row>
    <row r="920" spans="1:14" x14ac:dyDescent="0.25">
      <c r="A920" s="29">
        <v>61</v>
      </c>
      <c r="B920" t="s">
        <v>28</v>
      </c>
      <c r="C920" s="1" t="s">
        <v>29</v>
      </c>
      <c r="D920" t="s">
        <v>1426</v>
      </c>
      <c r="E920" t="s">
        <v>569</v>
      </c>
      <c r="F920">
        <v>102781.08</v>
      </c>
      <c r="G920">
        <v>60</v>
      </c>
      <c r="H920">
        <v>1905167.57</v>
      </c>
      <c r="I920" s="31">
        <f t="shared" si="60"/>
        <v>4261697.2299999995</v>
      </c>
      <c r="J920" s="16">
        <f t="shared" si="57"/>
        <v>3906555.794166666</v>
      </c>
      <c r="K920">
        <v>12</v>
      </c>
      <c r="L920" s="16">
        <f t="shared" si="58"/>
        <v>468786.69529999996</v>
      </c>
      <c r="M920">
        <v>0</v>
      </c>
      <c r="N920" s="16">
        <f t="shared" si="59"/>
        <v>0</v>
      </c>
    </row>
    <row r="921" spans="1:14" x14ac:dyDescent="0.25">
      <c r="A921" s="29">
        <v>61</v>
      </c>
      <c r="B921" t="s">
        <v>28</v>
      </c>
      <c r="C921" s="1" t="s">
        <v>29</v>
      </c>
      <c r="D921" t="s">
        <v>1427</v>
      </c>
      <c r="E921" t="s">
        <v>569</v>
      </c>
      <c r="F921">
        <v>410899.1</v>
      </c>
      <c r="G921">
        <v>24</v>
      </c>
      <c r="H921">
        <v>3137565.7700000005</v>
      </c>
      <c r="I921" s="31">
        <f t="shared" si="60"/>
        <v>6724012.629999998</v>
      </c>
      <c r="J921" s="16">
        <f t="shared" si="57"/>
        <v>6163678.2441666648</v>
      </c>
      <c r="K921">
        <v>12</v>
      </c>
      <c r="L921" s="16">
        <f t="shared" si="58"/>
        <v>739641.38929999981</v>
      </c>
      <c r="M921">
        <v>0</v>
      </c>
      <c r="N921" s="16">
        <f t="shared" si="59"/>
        <v>0</v>
      </c>
    </row>
    <row r="922" spans="1:14" x14ac:dyDescent="0.25">
      <c r="A922" s="29">
        <v>61</v>
      </c>
      <c r="B922" t="s">
        <v>28</v>
      </c>
      <c r="C922" s="1" t="s">
        <v>29</v>
      </c>
      <c r="D922" t="s">
        <v>1416</v>
      </c>
      <c r="E922" t="s">
        <v>569</v>
      </c>
      <c r="F922">
        <v>77207.210000000006</v>
      </c>
      <c r="G922">
        <v>60</v>
      </c>
      <c r="H922">
        <v>1321486.49</v>
      </c>
      <c r="I922" s="31">
        <f t="shared" si="60"/>
        <v>3310946.1100000003</v>
      </c>
      <c r="J922" s="16">
        <f t="shared" si="57"/>
        <v>3035033.9341666671</v>
      </c>
      <c r="K922">
        <v>12</v>
      </c>
      <c r="L922" s="16">
        <f t="shared" si="58"/>
        <v>364204.07210000011</v>
      </c>
      <c r="M922">
        <v>0</v>
      </c>
      <c r="N922" s="16">
        <f t="shared" si="59"/>
        <v>0</v>
      </c>
    </row>
    <row r="923" spans="1:14" x14ac:dyDescent="0.25">
      <c r="A923" s="29">
        <v>61</v>
      </c>
      <c r="B923" t="s">
        <v>28</v>
      </c>
      <c r="C923" s="1" t="s">
        <v>29</v>
      </c>
      <c r="D923" t="s">
        <v>1328</v>
      </c>
      <c r="E923" t="s">
        <v>569</v>
      </c>
      <c r="F923">
        <v>301981.98</v>
      </c>
      <c r="G923">
        <v>40</v>
      </c>
      <c r="H923">
        <v>3455963.96</v>
      </c>
      <c r="I923" s="31">
        <f t="shared" si="60"/>
        <v>8623315.2399999984</v>
      </c>
      <c r="J923" s="16">
        <f t="shared" si="57"/>
        <v>7904705.6366666649</v>
      </c>
      <c r="K923">
        <v>12</v>
      </c>
      <c r="L923" s="16">
        <f t="shared" si="58"/>
        <v>948564.67639999988</v>
      </c>
      <c r="M923">
        <v>0</v>
      </c>
      <c r="N923" s="16">
        <f t="shared" si="59"/>
        <v>0</v>
      </c>
    </row>
    <row r="924" spans="1:14" x14ac:dyDescent="0.25">
      <c r="A924" s="29">
        <v>61</v>
      </c>
      <c r="B924" t="s">
        <v>28</v>
      </c>
      <c r="C924" s="1" t="s">
        <v>29</v>
      </c>
      <c r="D924" t="s">
        <v>1417</v>
      </c>
      <c r="E924" t="s">
        <v>569</v>
      </c>
      <c r="F924">
        <v>69639.64</v>
      </c>
      <c r="G924">
        <v>360</v>
      </c>
      <c r="H924">
        <v>6175783.7799999993</v>
      </c>
      <c r="I924" s="31">
        <f t="shared" si="60"/>
        <v>18894486.619999997</v>
      </c>
      <c r="J924" s="16">
        <f t="shared" si="57"/>
        <v>17319946.068333331</v>
      </c>
      <c r="K924">
        <v>12</v>
      </c>
      <c r="L924" s="16">
        <f t="shared" si="58"/>
        <v>2078393.5281999998</v>
      </c>
      <c r="M924">
        <v>0</v>
      </c>
      <c r="N924" s="16">
        <f t="shared" si="59"/>
        <v>0</v>
      </c>
    </row>
    <row r="925" spans="1:14" x14ac:dyDescent="0.25">
      <c r="A925" s="29">
        <v>61</v>
      </c>
      <c r="B925" t="s">
        <v>28</v>
      </c>
      <c r="C925" s="1" t="s">
        <v>29</v>
      </c>
      <c r="D925" t="s">
        <v>1329</v>
      </c>
      <c r="E925" t="s">
        <v>569</v>
      </c>
      <c r="F925">
        <v>273153.15000000002</v>
      </c>
      <c r="G925">
        <v>100</v>
      </c>
      <c r="H925">
        <v>6878414.4199999999</v>
      </c>
      <c r="I925" s="31">
        <f t="shared" si="60"/>
        <v>20436900.580000006</v>
      </c>
      <c r="J925" s="16">
        <f t="shared" si="57"/>
        <v>18733825.53166667</v>
      </c>
      <c r="K925">
        <v>12</v>
      </c>
      <c r="L925" s="16">
        <f t="shared" si="58"/>
        <v>2248059.0638000006</v>
      </c>
      <c r="M925">
        <v>0</v>
      </c>
      <c r="N925" s="16">
        <f t="shared" si="59"/>
        <v>0</v>
      </c>
    </row>
    <row r="926" spans="1:14" x14ac:dyDescent="0.25">
      <c r="A926" s="29">
        <v>62</v>
      </c>
      <c r="B926" t="s">
        <v>28</v>
      </c>
      <c r="C926" s="1" t="s">
        <v>29</v>
      </c>
      <c r="D926" t="s">
        <v>1336</v>
      </c>
      <c r="E926" t="s">
        <v>569</v>
      </c>
      <c r="F926">
        <v>299099.09999999998</v>
      </c>
      <c r="G926">
        <v>600</v>
      </c>
      <c r="H926">
        <v>50967567.559999995</v>
      </c>
      <c r="I926" s="31">
        <f t="shared" si="60"/>
        <v>128491892.44</v>
      </c>
      <c r="J926" s="16">
        <f t="shared" si="57"/>
        <v>117784234.73666666</v>
      </c>
      <c r="K926">
        <v>12</v>
      </c>
      <c r="L926" s="16">
        <f t="shared" si="58"/>
        <v>14134108.168399999</v>
      </c>
      <c r="M926">
        <v>0</v>
      </c>
      <c r="N926" s="16">
        <f t="shared" si="59"/>
        <v>0</v>
      </c>
    </row>
    <row r="927" spans="1:14" x14ac:dyDescent="0.25">
      <c r="A927" s="29">
        <v>63</v>
      </c>
      <c r="B927" t="s">
        <v>28</v>
      </c>
      <c r="C927" s="1" t="s">
        <v>29</v>
      </c>
      <c r="D927" t="s">
        <v>1416</v>
      </c>
      <c r="E927" t="s">
        <v>569</v>
      </c>
      <c r="F927">
        <v>77207.210000000006</v>
      </c>
      <c r="G927">
        <v>216</v>
      </c>
      <c r="H927">
        <v>3865621.6300000004</v>
      </c>
      <c r="I927" s="31">
        <f t="shared" si="60"/>
        <v>12811135.73</v>
      </c>
      <c r="J927" s="16">
        <f t="shared" si="57"/>
        <v>11743541.085833333</v>
      </c>
      <c r="K927">
        <v>12</v>
      </c>
      <c r="L927" s="16">
        <f t="shared" si="58"/>
        <v>1409224.9303000001</v>
      </c>
      <c r="M927">
        <v>0</v>
      </c>
      <c r="N927" s="16">
        <f t="shared" si="59"/>
        <v>0</v>
      </c>
    </row>
    <row r="928" spans="1:14" x14ac:dyDescent="0.25">
      <c r="A928" s="29">
        <v>63</v>
      </c>
      <c r="B928" t="s">
        <v>28</v>
      </c>
      <c r="C928" s="1" t="s">
        <v>29</v>
      </c>
      <c r="D928" t="s">
        <v>1329</v>
      </c>
      <c r="E928" t="s">
        <v>569</v>
      </c>
      <c r="F928">
        <v>273153.15000000002</v>
      </c>
      <c r="G928">
        <v>40</v>
      </c>
      <c r="H928">
        <v>2249801.8000000003</v>
      </c>
      <c r="I928" s="31">
        <f t="shared" si="60"/>
        <v>8676324.1999999993</v>
      </c>
      <c r="J928" s="16">
        <f t="shared" si="57"/>
        <v>7953297.1833333327</v>
      </c>
      <c r="K928">
        <v>12</v>
      </c>
      <c r="L928" s="16">
        <f t="shared" si="58"/>
        <v>954395.66199999989</v>
      </c>
      <c r="M928">
        <v>0</v>
      </c>
      <c r="N928" s="16">
        <f t="shared" si="59"/>
        <v>0</v>
      </c>
    </row>
    <row r="929" spans="1:14" x14ac:dyDescent="0.25">
      <c r="A929" s="29">
        <v>63</v>
      </c>
      <c r="B929" t="s">
        <v>28</v>
      </c>
      <c r="C929" s="1" t="s">
        <v>29</v>
      </c>
      <c r="D929" t="s">
        <v>1283</v>
      </c>
      <c r="E929" t="s">
        <v>569</v>
      </c>
      <c r="F929">
        <v>183153.15</v>
      </c>
      <c r="G929">
        <v>20</v>
      </c>
      <c r="H929">
        <v>695495.5</v>
      </c>
      <c r="I929" s="31">
        <f t="shared" si="60"/>
        <v>2967567.5</v>
      </c>
      <c r="J929" s="16">
        <f t="shared" si="57"/>
        <v>2720270.208333333</v>
      </c>
      <c r="K929">
        <v>12</v>
      </c>
      <c r="L929" s="16">
        <f t="shared" si="58"/>
        <v>326432.42499999999</v>
      </c>
      <c r="M929">
        <v>0</v>
      </c>
      <c r="N929" s="16">
        <f t="shared" si="59"/>
        <v>0</v>
      </c>
    </row>
    <row r="930" spans="1:14" x14ac:dyDescent="0.25">
      <c r="A930" s="29">
        <v>63</v>
      </c>
      <c r="B930" t="s">
        <v>28</v>
      </c>
      <c r="C930" s="1" t="s">
        <v>29</v>
      </c>
      <c r="D930" t="s">
        <v>1328</v>
      </c>
      <c r="E930" t="s">
        <v>569</v>
      </c>
      <c r="F930">
        <v>301981.98</v>
      </c>
      <c r="G930">
        <v>80</v>
      </c>
      <c r="H930">
        <v>5592936.9400000004</v>
      </c>
      <c r="I930" s="31">
        <f t="shared" si="60"/>
        <v>18565621.459999997</v>
      </c>
      <c r="J930" s="16">
        <f t="shared" si="57"/>
        <v>17018486.338333331</v>
      </c>
      <c r="K930">
        <v>12</v>
      </c>
      <c r="L930" s="16">
        <f t="shared" si="58"/>
        <v>2042218.3605999998</v>
      </c>
      <c r="M930">
        <v>0</v>
      </c>
      <c r="N930" s="16">
        <f t="shared" si="59"/>
        <v>0</v>
      </c>
    </row>
    <row r="931" spans="1:14" x14ac:dyDescent="0.25">
      <c r="A931" s="29">
        <v>63</v>
      </c>
      <c r="B931" t="s">
        <v>28</v>
      </c>
      <c r="C931" s="1" t="s">
        <v>29</v>
      </c>
      <c r="D931" t="s">
        <v>1417</v>
      </c>
      <c r="E931" t="s">
        <v>569</v>
      </c>
      <c r="F931">
        <v>69639.64</v>
      </c>
      <c r="G931">
        <v>60</v>
      </c>
      <c r="H931">
        <v>860540.54</v>
      </c>
      <c r="I931" s="31">
        <f t="shared" si="60"/>
        <v>3317837.86</v>
      </c>
      <c r="J931" s="16">
        <f t="shared" si="57"/>
        <v>3041351.3716666666</v>
      </c>
      <c r="K931">
        <v>12</v>
      </c>
      <c r="L931" s="16">
        <f t="shared" si="58"/>
        <v>364962.16460000002</v>
      </c>
      <c r="M931">
        <v>0</v>
      </c>
      <c r="N931" s="16">
        <f t="shared" si="59"/>
        <v>0</v>
      </c>
    </row>
    <row r="932" spans="1:14" x14ac:dyDescent="0.25">
      <c r="A932" s="29">
        <v>63</v>
      </c>
      <c r="B932" t="s">
        <v>28</v>
      </c>
      <c r="C932" s="1" t="s">
        <v>29</v>
      </c>
      <c r="D932" t="s">
        <v>1335</v>
      </c>
      <c r="E932" t="s">
        <v>569</v>
      </c>
      <c r="F932">
        <v>62612.61</v>
      </c>
      <c r="G932">
        <v>60</v>
      </c>
      <c r="H932">
        <v>994594.59</v>
      </c>
      <c r="I932" s="31">
        <f t="shared" si="60"/>
        <v>2762162.0100000002</v>
      </c>
      <c r="J932" s="16">
        <f t="shared" si="57"/>
        <v>2531981.8425000003</v>
      </c>
      <c r="K932">
        <v>12</v>
      </c>
      <c r="L932" s="16">
        <f t="shared" si="58"/>
        <v>303837.82110000006</v>
      </c>
      <c r="M932">
        <v>0</v>
      </c>
      <c r="N932" s="16">
        <f t="shared" si="59"/>
        <v>0</v>
      </c>
    </row>
    <row r="933" spans="1:14" x14ac:dyDescent="0.25">
      <c r="A933" s="29">
        <v>63</v>
      </c>
      <c r="B933" t="s">
        <v>28</v>
      </c>
      <c r="C933" s="1" t="s">
        <v>29</v>
      </c>
      <c r="D933" t="s">
        <v>1382</v>
      </c>
      <c r="E933" t="s">
        <v>569</v>
      </c>
      <c r="F933">
        <v>61531.53</v>
      </c>
      <c r="G933">
        <v>60</v>
      </c>
      <c r="H933">
        <v>893135.13</v>
      </c>
      <c r="I933" s="31">
        <f t="shared" si="60"/>
        <v>2798756.67</v>
      </c>
      <c r="J933" s="16">
        <f t="shared" si="57"/>
        <v>2565526.9474999998</v>
      </c>
      <c r="K933">
        <v>12</v>
      </c>
      <c r="L933" s="16">
        <f t="shared" si="58"/>
        <v>307863.23369999998</v>
      </c>
      <c r="M933">
        <v>0</v>
      </c>
      <c r="N933" s="16">
        <f t="shared" si="59"/>
        <v>0</v>
      </c>
    </row>
    <row r="934" spans="1:14" x14ac:dyDescent="0.25">
      <c r="A934" s="29">
        <v>63</v>
      </c>
      <c r="B934" t="s">
        <v>28</v>
      </c>
      <c r="C934" s="1" t="s">
        <v>29</v>
      </c>
      <c r="D934" t="s">
        <v>1336</v>
      </c>
      <c r="E934" t="s">
        <v>569</v>
      </c>
      <c r="F934">
        <v>299099.09999999998</v>
      </c>
      <c r="G934">
        <v>30</v>
      </c>
      <c r="H934">
        <v>2176756.7599999998</v>
      </c>
      <c r="I934" s="31">
        <f t="shared" si="60"/>
        <v>6796216.2400000002</v>
      </c>
      <c r="J934" s="16">
        <f t="shared" si="57"/>
        <v>6229864.8866666667</v>
      </c>
      <c r="K934">
        <v>12</v>
      </c>
      <c r="L934" s="16">
        <f t="shared" si="58"/>
        <v>747583.78639999998</v>
      </c>
      <c r="M934">
        <v>0</v>
      </c>
      <c r="N934" s="16">
        <f t="shared" si="59"/>
        <v>0</v>
      </c>
    </row>
    <row r="935" spans="1:14" x14ac:dyDescent="0.25">
      <c r="A935" s="29">
        <v>63</v>
      </c>
      <c r="B935" t="s">
        <v>28</v>
      </c>
      <c r="C935" s="1" t="s">
        <v>29</v>
      </c>
      <c r="D935" t="s">
        <v>1330</v>
      </c>
      <c r="E935" t="s">
        <v>569</v>
      </c>
      <c r="F935">
        <v>31171.17</v>
      </c>
      <c r="G935">
        <v>24</v>
      </c>
      <c r="H935">
        <v>144864.85999999999</v>
      </c>
      <c r="I935" s="31">
        <f t="shared" si="60"/>
        <v>603243.22</v>
      </c>
      <c r="J935" s="16">
        <f t="shared" si="57"/>
        <v>552972.95166666666</v>
      </c>
      <c r="K935">
        <v>12</v>
      </c>
      <c r="L935" s="16">
        <f t="shared" si="58"/>
        <v>66356.754199999996</v>
      </c>
      <c r="M935">
        <v>0</v>
      </c>
      <c r="N935" s="16">
        <f t="shared" si="59"/>
        <v>0</v>
      </c>
    </row>
    <row r="936" spans="1:14" x14ac:dyDescent="0.25">
      <c r="A936" s="29">
        <v>63</v>
      </c>
      <c r="B936" t="s">
        <v>28</v>
      </c>
      <c r="C936" s="1" t="s">
        <v>29</v>
      </c>
      <c r="D936" t="s">
        <v>1428</v>
      </c>
      <c r="E936" t="s">
        <v>569</v>
      </c>
      <c r="F936">
        <v>90090.09</v>
      </c>
      <c r="G936">
        <v>36</v>
      </c>
      <c r="H936">
        <v>995675.68</v>
      </c>
      <c r="I936" s="31">
        <f t="shared" si="60"/>
        <v>2247567.5599999996</v>
      </c>
      <c r="J936" s="16">
        <f t="shared" si="57"/>
        <v>2060270.263333333</v>
      </c>
      <c r="K936">
        <v>12</v>
      </c>
      <c r="L936" s="16">
        <f t="shared" si="58"/>
        <v>247232.43159999995</v>
      </c>
      <c r="M936">
        <v>0</v>
      </c>
      <c r="N936" s="16">
        <f t="shared" si="59"/>
        <v>0</v>
      </c>
    </row>
    <row r="937" spans="1:14" x14ac:dyDescent="0.25">
      <c r="A937" s="29">
        <v>63</v>
      </c>
      <c r="B937" t="s">
        <v>28</v>
      </c>
      <c r="C937" s="1" t="s">
        <v>29</v>
      </c>
      <c r="D937" t="s">
        <v>1429</v>
      </c>
      <c r="E937" t="s">
        <v>569</v>
      </c>
      <c r="F937">
        <v>31531.53</v>
      </c>
      <c r="G937">
        <v>120</v>
      </c>
      <c r="H937">
        <v>1016216.22</v>
      </c>
      <c r="I937" s="31">
        <f t="shared" si="60"/>
        <v>2767567.38</v>
      </c>
      <c r="J937" s="16">
        <f t="shared" si="57"/>
        <v>2536936.7649999997</v>
      </c>
      <c r="K937">
        <v>12</v>
      </c>
      <c r="L937" s="16">
        <f t="shared" si="58"/>
        <v>304432.41179999994</v>
      </c>
      <c r="M937">
        <v>0</v>
      </c>
      <c r="N937" s="16">
        <f t="shared" si="59"/>
        <v>0</v>
      </c>
    </row>
    <row r="938" spans="1:14" x14ac:dyDescent="0.25">
      <c r="A938" s="29">
        <v>63</v>
      </c>
      <c r="B938" t="s">
        <v>28</v>
      </c>
      <c r="C938" s="1" t="s">
        <v>29</v>
      </c>
      <c r="D938" t="s">
        <v>1430</v>
      </c>
      <c r="E938" t="s">
        <v>569</v>
      </c>
      <c r="F938">
        <v>108108.11</v>
      </c>
      <c r="G938">
        <v>80</v>
      </c>
      <c r="H938">
        <v>2335135.14</v>
      </c>
      <c r="I938" s="31">
        <f t="shared" si="60"/>
        <v>6313513.6600000001</v>
      </c>
      <c r="J938" s="16">
        <f t="shared" si="57"/>
        <v>5787387.5216666665</v>
      </c>
      <c r="K938">
        <v>12</v>
      </c>
      <c r="L938" s="16">
        <f t="shared" si="58"/>
        <v>694486.50259999989</v>
      </c>
      <c r="M938">
        <v>0</v>
      </c>
      <c r="N938" s="16">
        <f t="shared" si="59"/>
        <v>0</v>
      </c>
    </row>
    <row r="939" spans="1:14" x14ac:dyDescent="0.25">
      <c r="A939" s="29">
        <v>64</v>
      </c>
      <c r="B939" t="s">
        <v>28</v>
      </c>
      <c r="C939" s="1" t="s">
        <v>29</v>
      </c>
      <c r="D939" t="s">
        <v>1337</v>
      </c>
      <c r="E939" t="s">
        <v>569</v>
      </c>
      <c r="F939">
        <v>100360.36</v>
      </c>
      <c r="G939">
        <v>36</v>
      </c>
      <c r="H939">
        <v>755675.68</v>
      </c>
      <c r="I939" s="31">
        <f t="shared" si="60"/>
        <v>2857297.28</v>
      </c>
      <c r="J939" s="16">
        <f t="shared" si="57"/>
        <v>2619189.1733333329</v>
      </c>
      <c r="K939">
        <v>12</v>
      </c>
      <c r="L939" s="16">
        <f t="shared" si="58"/>
        <v>314302.70079999993</v>
      </c>
      <c r="M939">
        <v>0</v>
      </c>
      <c r="N939" s="16">
        <f t="shared" si="59"/>
        <v>0</v>
      </c>
    </row>
    <row r="940" spans="1:14" x14ac:dyDescent="0.25">
      <c r="A940" s="29">
        <v>64</v>
      </c>
      <c r="B940" t="s">
        <v>28</v>
      </c>
      <c r="C940" s="1" t="s">
        <v>29</v>
      </c>
      <c r="D940" t="s">
        <v>1431</v>
      </c>
      <c r="E940" t="s">
        <v>569</v>
      </c>
      <c r="F940">
        <v>395855.86</v>
      </c>
      <c r="G940">
        <v>12</v>
      </c>
      <c r="H940">
        <v>996756.76</v>
      </c>
      <c r="I940" s="31">
        <f t="shared" si="60"/>
        <v>3753513.5600000005</v>
      </c>
      <c r="J940" s="16">
        <f t="shared" si="57"/>
        <v>3440720.7633333337</v>
      </c>
      <c r="K940">
        <v>12</v>
      </c>
      <c r="L940" s="16">
        <f t="shared" si="58"/>
        <v>412886.49160000007</v>
      </c>
      <c r="M940">
        <v>0</v>
      </c>
      <c r="N940" s="16">
        <f t="shared" si="59"/>
        <v>0</v>
      </c>
    </row>
    <row r="941" spans="1:14" x14ac:dyDescent="0.25">
      <c r="A941" s="29">
        <v>64</v>
      </c>
      <c r="B941" t="s">
        <v>28</v>
      </c>
      <c r="C941" s="1" t="s">
        <v>29</v>
      </c>
      <c r="D941" t="s">
        <v>1431</v>
      </c>
      <c r="E941" t="s">
        <v>569</v>
      </c>
      <c r="F941">
        <v>395855.86</v>
      </c>
      <c r="G941">
        <v>4</v>
      </c>
      <c r="H941" s="31">
        <f>G941*F941</f>
        <v>1583423.44</v>
      </c>
      <c r="I941" s="31">
        <f t="shared" si="60"/>
        <v>0</v>
      </c>
      <c r="J941" s="16">
        <f t="shared" si="57"/>
        <v>0</v>
      </c>
      <c r="K941">
        <v>12</v>
      </c>
      <c r="L941" s="16">
        <f t="shared" si="58"/>
        <v>0</v>
      </c>
      <c r="M941">
        <v>0</v>
      </c>
      <c r="N941" s="16">
        <f t="shared" si="59"/>
        <v>0</v>
      </c>
    </row>
    <row r="942" spans="1:14" x14ac:dyDescent="0.25">
      <c r="A942" s="29">
        <v>64</v>
      </c>
      <c r="B942" t="s">
        <v>28</v>
      </c>
      <c r="C942" s="1" t="s">
        <v>29</v>
      </c>
      <c r="D942" t="s">
        <v>1337</v>
      </c>
      <c r="E942" t="s">
        <v>569</v>
      </c>
      <c r="F942">
        <v>100360.36</v>
      </c>
      <c r="G942">
        <v>12</v>
      </c>
      <c r="H942">
        <v>1204324.32</v>
      </c>
      <c r="I942" s="31">
        <f t="shared" si="60"/>
        <v>0</v>
      </c>
      <c r="J942" s="16">
        <f t="shared" si="57"/>
        <v>0</v>
      </c>
      <c r="K942">
        <v>12</v>
      </c>
      <c r="L942" s="16">
        <f t="shared" si="58"/>
        <v>0</v>
      </c>
      <c r="M942">
        <v>0</v>
      </c>
      <c r="N942" s="16">
        <f t="shared" si="59"/>
        <v>0</v>
      </c>
    </row>
    <row r="943" spans="1:14" x14ac:dyDescent="0.25">
      <c r="A943" s="29">
        <v>65</v>
      </c>
      <c r="B943" t="s">
        <v>28</v>
      </c>
      <c r="C943" s="1" t="s">
        <v>29</v>
      </c>
      <c r="D943" t="s">
        <v>1416</v>
      </c>
      <c r="E943" t="s">
        <v>569</v>
      </c>
      <c r="F943">
        <v>77207.210000000006</v>
      </c>
      <c r="G943">
        <v>180</v>
      </c>
      <c r="H943">
        <v>3113513.51</v>
      </c>
      <c r="I943" s="31">
        <f t="shared" si="60"/>
        <v>10783784.290000001</v>
      </c>
      <c r="J943" s="16">
        <f t="shared" si="57"/>
        <v>9885135.5991666671</v>
      </c>
      <c r="K943">
        <v>12</v>
      </c>
      <c r="L943" s="16">
        <f t="shared" si="58"/>
        <v>1186216.2719000001</v>
      </c>
      <c r="M943">
        <v>0</v>
      </c>
      <c r="N943" s="16">
        <f t="shared" si="59"/>
        <v>0</v>
      </c>
    </row>
    <row r="944" spans="1:14" x14ac:dyDescent="0.25">
      <c r="A944" s="29">
        <v>65</v>
      </c>
      <c r="B944" t="s">
        <v>28</v>
      </c>
      <c r="C944" s="1" t="s">
        <v>29</v>
      </c>
      <c r="D944" t="s">
        <v>1328</v>
      </c>
      <c r="E944" t="s">
        <v>569</v>
      </c>
      <c r="F944">
        <v>301981.98</v>
      </c>
      <c r="G944">
        <v>40</v>
      </c>
      <c r="H944">
        <v>2702702.7</v>
      </c>
      <c r="I944" s="31">
        <f t="shared" si="60"/>
        <v>9376576.5</v>
      </c>
      <c r="J944" s="16">
        <f t="shared" si="57"/>
        <v>8595195.125</v>
      </c>
      <c r="K944">
        <v>12</v>
      </c>
      <c r="L944" s="16">
        <f t="shared" si="58"/>
        <v>1031423.415</v>
      </c>
      <c r="M944">
        <v>0</v>
      </c>
      <c r="N944" s="16">
        <f t="shared" si="59"/>
        <v>0</v>
      </c>
    </row>
    <row r="945" spans="1:14" x14ac:dyDescent="0.25">
      <c r="A945" s="29">
        <v>65</v>
      </c>
      <c r="B945" t="s">
        <v>28</v>
      </c>
      <c r="C945" s="1" t="s">
        <v>29</v>
      </c>
      <c r="D945" t="s">
        <v>1427</v>
      </c>
      <c r="E945" t="s">
        <v>569</v>
      </c>
      <c r="F945">
        <v>410899.1</v>
      </c>
      <c r="G945">
        <v>80</v>
      </c>
      <c r="H945">
        <v>8482738.7400000002</v>
      </c>
      <c r="I945" s="31">
        <f t="shared" si="60"/>
        <v>24389189.259999998</v>
      </c>
      <c r="J945" s="16">
        <f t="shared" si="57"/>
        <v>22356756.821666665</v>
      </c>
      <c r="K945">
        <v>12</v>
      </c>
      <c r="L945" s="16">
        <f t="shared" si="58"/>
        <v>2682810.8185999999</v>
      </c>
      <c r="M945">
        <v>0</v>
      </c>
      <c r="N945" s="16">
        <f t="shared" si="59"/>
        <v>0</v>
      </c>
    </row>
    <row r="946" spans="1:14" x14ac:dyDescent="0.25">
      <c r="A946" s="29">
        <v>65</v>
      </c>
      <c r="B946" t="s">
        <v>28</v>
      </c>
      <c r="C946" s="1" t="s">
        <v>29</v>
      </c>
      <c r="D946" t="s">
        <v>1426</v>
      </c>
      <c r="E946" t="s">
        <v>569</v>
      </c>
      <c r="F946">
        <v>102781.08</v>
      </c>
      <c r="G946">
        <v>120</v>
      </c>
      <c r="H946">
        <v>3058054.05</v>
      </c>
      <c r="I946" s="31">
        <f t="shared" si="60"/>
        <v>9275675.5500000007</v>
      </c>
      <c r="J946" s="16">
        <f t="shared" si="57"/>
        <v>8502702.5875000004</v>
      </c>
      <c r="K946">
        <v>12</v>
      </c>
      <c r="L946" s="16">
        <f t="shared" si="58"/>
        <v>1020324.3105000001</v>
      </c>
      <c r="M946">
        <v>0</v>
      </c>
      <c r="N946" s="16">
        <f t="shared" si="59"/>
        <v>0</v>
      </c>
    </row>
    <row r="947" spans="1:14" x14ac:dyDescent="0.25">
      <c r="A947" s="29">
        <v>66</v>
      </c>
      <c r="B947" t="s">
        <v>28</v>
      </c>
      <c r="C947" s="1" t="s">
        <v>29</v>
      </c>
      <c r="D947" t="s">
        <v>1329</v>
      </c>
      <c r="E947" t="s">
        <v>569</v>
      </c>
      <c r="F947">
        <v>273153.15000000002</v>
      </c>
      <c r="G947">
        <v>4</v>
      </c>
      <c r="H947">
        <v>155315.32</v>
      </c>
      <c r="I947" s="31">
        <f t="shared" si="60"/>
        <v>937297.28</v>
      </c>
      <c r="J947" s="16">
        <f t="shared" si="57"/>
        <v>859189.17333333334</v>
      </c>
      <c r="K947">
        <v>12</v>
      </c>
      <c r="L947" s="16">
        <f t="shared" si="58"/>
        <v>103102.70080000001</v>
      </c>
      <c r="M947">
        <v>0</v>
      </c>
      <c r="N947" s="16">
        <f t="shared" si="59"/>
        <v>0</v>
      </c>
    </row>
    <row r="948" spans="1:14" x14ac:dyDescent="0.25">
      <c r="A948" s="29">
        <v>66</v>
      </c>
      <c r="B948" t="s">
        <v>28</v>
      </c>
      <c r="C948" s="1" t="s">
        <v>29</v>
      </c>
      <c r="D948" t="s">
        <v>1417</v>
      </c>
      <c r="E948" t="s">
        <v>569</v>
      </c>
      <c r="F948">
        <v>69639.64</v>
      </c>
      <c r="G948">
        <v>12</v>
      </c>
      <c r="H948">
        <v>118918.92</v>
      </c>
      <c r="I948" s="31">
        <f t="shared" si="60"/>
        <v>716756.75999999989</v>
      </c>
      <c r="J948" s="16">
        <f t="shared" si="57"/>
        <v>657027.02999999991</v>
      </c>
      <c r="K948">
        <v>12</v>
      </c>
      <c r="L948" s="16">
        <f t="shared" si="58"/>
        <v>78843.243599999987</v>
      </c>
      <c r="M948">
        <v>0</v>
      </c>
      <c r="N948" s="16">
        <f t="shared" si="59"/>
        <v>0</v>
      </c>
    </row>
    <row r="949" spans="1:14" x14ac:dyDescent="0.25">
      <c r="A949" s="29">
        <v>66</v>
      </c>
      <c r="B949" t="s">
        <v>28</v>
      </c>
      <c r="C949" s="1" t="s">
        <v>29</v>
      </c>
      <c r="D949" t="s">
        <v>1335</v>
      </c>
      <c r="E949" t="s">
        <v>569</v>
      </c>
      <c r="F949">
        <v>62612.61</v>
      </c>
      <c r="G949">
        <v>12</v>
      </c>
      <c r="H949">
        <v>164324.32</v>
      </c>
      <c r="I949" s="31">
        <f t="shared" si="60"/>
        <v>587027</v>
      </c>
      <c r="J949" s="16">
        <f t="shared" si="57"/>
        <v>538108.08333333326</v>
      </c>
      <c r="K949">
        <v>12</v>
      </c>
      <c r="L949" s="16">
        <f t="shared" si="58"/>
        <v>64572.969999999994</v>
      </c>
      <c r="M949">
        <v>0</v>
      </c>
      <c r="N949" s="16">
        <f t="shared" si="59"/>
        <v>0</v>
      </c>
    </row>
    <row r="950" spans="1:14" x14ac:dyDescent="0.25">
      <c r="A950" s="29">
        <v>67</v>
      </c>
      <c r="B950" t="s">
        <v>28</v>
      </c>
      <c r="C950" s="1" t="s">
        <v>29</v>
      </c>
      <c r="D950" t="s">
        <v>1328</v>
      </c>
      <c r="E950" t="s">
        <v>569</v>
      </c>
      <c r="F950">
        <v>301981.98</v>
      </c>
      <c r="G950">
        <v>12</v>
      </c>
      <c r="H950">
        <v>651891.89</v>
      </c>
      <c r="I950" s="31">
        <f t="shared" si="60"/>
        <v>2971891.8699999996</v>
      </c>
      <c r="J950" s="16">
        <f t="shared" si="57"/>
        <v>2724234.2141666664</v>
      </c>
      <c r="K950">
        <v>12</v>
      </c>
      <c r="L950" s="16">
        <f t="shared" si="58"/>
        <v>326908.10569999996</v>
      </c>
      <c r="M950">
        <v>0</v>
      </c>
      <c r="N950" s="16">
        <f t="shared" si="59"/>
        <v>0</v>
      </c>
    </row>
    <row r="951" spans="1:14" x14ac:dyDescent="0.25">
      <c r="A951" s="29">
        <v>67</v>
      </c>
      <c r="B951" t="s">
        <v>28</v>
      </c>
      <c r="C951" s="1" t="s">
        <v>29</v>
      </c>
      <c r="D951" t="s">
        <v>1427</v>
      </c>
      <c r="E951" t="s">
        <v>569</v>
      </c>
      <c r="F951">
        <v>410899.1</v>
      </c>
      <c r="G951">
        <v>8</v>
      </c>
      <c r="H951">
        <v>715661.26</v>
      </c>
      <c r="I951" s="31">
        <f t="shared" si="60"/>
        <v>2571531.54</v>
      </c>
      <c r="J951" s="16">
        <f t="shared" si="57"/>
        <v>2357237.2450000001</v>
      </c>
      <c r="K951">
        <v>12</v>
      </c>
      <c r="L951" s="16">
        <f t="shared" si="58"/>
        <v>282868.4694</v>
      </c>
      <c r="M951">
        <v>0</v>
      </c>
      <c r="N951" s="16">
        <f t="shared" si="59"/>
        <v>0</v>
      </c>
    </row>
    <row r="952" spans="1:14" x14ac:dyDescent="0.25">
      <c r="A952" s="29">
        <v>67</v>
      </c>
      <c r="B952" t="s">
        <v>28</v>
      </c>
      <c r="C952" s="1" t="s">
        <v>29</v>
      </c>
      <c r="D952" t="s">
        <v>1336</v>
      </c>
      <c r="E952" t="s">
        <v>569</v>
      </c>
      <c r="F952">
        <v>299099.09999999998</v>
      </c>
      <c r="G952">
        <v>12</v>
      </c>
      <c r="H952">
        <v>724324.32</v>
      </c>
      <c r="I952" s="31">
        <f t="shared" si="60"/>
        <v>2864864.88</v>
      </c>
      <c r="J952" s="16">
        <f t="shared" si="57"/>
        <v>2626126.1399999997</v>
      </c>
      <c r="K952">
        <v>12</v>
      </c>
      <c r="L952" s="16">
        <f t="shared" si="58"/>
        <v>315135.13679999998</v>
      </c>
      <c r="M952">
        <v>0</v>
      </c>
      <c r="N952" s="16">
        <f t="shared" si="59"/>
        <v>0</v>
      </c>
    </row>
    <row r="953" spans="1:14" x14ac:dyDescent="0.25">
      <c r="A953" s="29">
        <v>68</v>
      </c>
      <c r="B953" t="s">
        <v>28</v>
      </c>
      <c r="C953" s="1" t="s">
        <v>29</v>
      </c>
      <c r="D953" t="s">
        <v>1416</v>
      </c>
      <c r="E953" t="s">
        <v>569</v>
      </c>
      <c r="F953">
        <v>77207.210000000006</v>
      </c>
      <c r="G953">
        <v>24</v>
      </c>
      <c r="H953">
        <v>350270.27</v>
      </c>
      <c r="I953" s="31">
        <f t="shared" si="60"/>
        <v>1502702.77</v>
      </c>
      <c r="J953" s="16">
        <f t="shared" ref="J953:J959" si="61">11/12*I953</f>
        <v>1377477.5391666666</v>
      </c>
      <c r="K953">
        <v>12</v>
      </c>
      <c r="L953" s="16">
        <f t="shared" ref="L953:L958" si="62">J953*K953/100</f>
        <v>165297.30469999998</v>
      </c>
      <c r="M953">
        <v>0</v>
      </c>
      <c r="N953" s="16">
        <f t="shared" ref="N953:N958" si="63">M953*J953/100</f>
        <v>0</v>
      </c>
    </row>
    <row r="954" spans="1:14" x14ac:dyDescent="0.25">
      <c r="A954" s="29">
        <v>68</v>
      </c>
      <c r="B954" t="s">
        <v>28</v>
      </c>
      <c r="C954" s="1" t="s">
        <v>29</v>
      </c>
      <c r="D954" t="s">
        <v>1283</v>
      </c>
      <c r="E954" t="s">
        <v>569</v>
      </c>
      <c r="F954">
        <v>183153.15</v>
      </c>
      <c r="G954">
        <v>4</v>
      </c>
      <c r="H954">
        <v>124324.32</v>
      </c>
      <c r="I954" s="31">
        <f t="shared" si="60"/>
        <v>608288.28</v>
      </c>
      <c r="J954" s="16">
        <f t="shared" si="61"/>
        <v>557597.59</v>
      </c>
      <c r="K954">
        <v>12</v>
      </c>
      <c r="L954" s="16">
        <f t="shared" si="62"/>
        <v>66911.710800000001</v>
      </c>
      <c r="M954">
        <v>0</v>
      </c>
      <c r="N954" s="16">
        <f t="shared" si="63"/>
        <v>0</v>
      </c>
    </row>
    <row r="955" spans="1:14" x14ac:dyDescent="0.25">
      <c r="A955" s="29">
        <v>68</v>
      </c>
      <c r="B955" t="s">
        <v>28</v>
      </c>
      <c r="C955" s="1" t="s">
        <v>29</v>
      </c>
      <c r="D955" t="s">
        <v>1328</v>
      </c>
      <c r="E955" t="s">
        <v>569</v>
      </c>
      <c r="F955">
        <v>301981.98</v>
      </c>
      <c r="G955">
        <v>12</v>
      </c>
      <c r="H955">
        <v>691891.89</v>
      </c>
      <c r="I955" s="31">
        <f t="shared" si="60"/>
        <v>2931891.8699999996</v>
      </c>
      <c r="J955" s="16">
        <f t="shared" si="61"/>
        <v>2687567.5474999994</v>
      </c>
      <c r="K955">
        <v>12</v>
      </c>
      <c r="L955" s="16">
        <f t="shared" si="62"/>
        <v>322508.10569999996</v>
      </c>
      <c r="M955">
        <v>0</v>
      </c>
      <c r="N955" s="16">
        <f t="shared" si="63"/>
        <v>0</v>
      </c>
    </row>
    <row r="956" spans="1:14" x14ac:dyDescent="0.25">
      <c r="A956" s="29">
        <v>68</v>
      </c>
      <c r="B956" t="s">
        <v>28</v>
      </c>
      <c r="C956" s="1" t="s">
        <v>29</v>
      </c>
      <c r="D956" t="s">
        <v>1335</v>
      </c>
      <c r="E956" t="s">
        <v>569</v>
      </c>
      <c r="F956">
        <v>62612.61</v>
      </c>
      <c r="G956">
        <v>36</v>
      </c>
      <c r="H956">
        <v>561081.07999999996</v>
      </c>
      <c r="I956" s="31">
        <f t="shared" si="60"/>
        <v>1692972.88</v>
      </c>
      <c r="J956" s="16">
        <f t="shared" si="61"/>
        <v>1551891.8066666664</v>
      </c>
      <c r="K956">
        <v>12</v>
      </c>
      <c r="L956" s="16">
        <f t="shared" si="62"/>
        <v>186227.01679999995</v>
      </c>
      <c r="M956">
        <v>0</v>
      </c>
      <c r="N956" s="16">
        <f t="shared" si="63"/>
        <v>0</v>
      </c>
    </row>
    <row r="957" spans="1:14" x14ac:dyDescent="0.25">
      <c r="A957" s="29">
        <v>68</v>
      </c>
      <c r="B957" t="s">
        <v>28</v>
      </c>
      <c r="C957" s="1" t="s">
        <v>29</v>
      </c>
      <c r="D957" t="s">
        <v>1427</v>
      </c>
      <c r="E957" t="s">
        <v>569</v>
      </c>
      <c r="F957">
        <v>410899.1</v>
      </c>
      <c r="G957">
        <v>16</v>
      </c>
      <c r="H957">
        <v>1487538.74</v>
      </c>
      <c r="I957" s="31">
        <f t="shared" si="60"/>
        <v>5086846.8599999994</v>
      </c>
      <c r="J957" s="16">
        <f t="shared" si="61"/>
        <v>4662942.9549999991</v>
      </c>
      <c r="K957">
        <v>12</v>
      </c>
      <c r="L957" s="16">
        <f t="shared" si="62"/>
        <v>559553.15459999989</v>
      </c>
      <c r="M957">
        <v>0</v>
      </c>
      <c r="N957" s="16">
        <f t="shared" si="63"/>
        <v>0</v>
      </c>
    </row>
    <row r="958" spans="1:14" x14ac:dyDescent="0.25">
      <c r="A958" s="29">
        <v>68</v>
      </c>
      <c r="B958" t="s">
        <v>28</v>
      </c>
      <c r="C958" s="1" t="s">
        <v>29</v>
      </c>
      <c r="D958" t="s">
        <v>1336</v>
      </c>
      <c r="E958" t="s">
        <v>569</v>
      </c>
      <c r="F958">
        <v>299099.09999999998</v>
      </c>
      <c r="G958">
        <v>12</v>
      </c>
      <c r="H958">
        <v>767567.57</v>
      </c>
      <c r="I958" s="31">
        <f t="shared" si="60"/>
        <v>2821621.63</v>
      </c>
      <c r="J958" s="16">
        <f t="shared" si="61"/>
        <v>2586486.4941666666</v>
      </c>
      <c r="K958">
        <v>12</v>
      </c>
      <c r="L958" s="16">
        <f t="shared" si="62"/>
        <v>310378.37929999997</v>
      </c>
      <c r="M958">
        <v>0</v>
      </c>
      <c r="N958" s="16">
        <f t="shared" si="63"/>
        <v>0</v>
      </c>
    </row>
    <row r="959" spans="1:14" x14ac:dyDescent="0.25">
      <c r="A959" t="s">
        <v>31</v>
      </c>
      <c r="H959" s="56">
        <f>SUM(H2:H958)</f>
        <v>221620455.30999988</v>
      </c>
      <c r="I959" s="57">
        <f>SUM(I2:I958)</f>
        <v>1307637606.369998</v>
      </c>
      <c r="J959" s="16">
        <f t="shared" si="61"/>
        <v>1198667805.8391647</v>
      </c>
      <c r="L959" s="16"/>
    </row>
  </sheetData>
  <autoFilter ref="A1:N959" xr:uid="{00000000-0001-0000-0100-000000000000}"/>
  <dataValidations count="1">
    <dataValidation type="whole" allowBlank="1" showInputMessage="1" showErrorMessage="1" sqref="K2:K958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EDF7F3-7197-43A1-8B6E-574FF636F0D8}">
          <x14:formula1>
            <xm:f>REF!$A$3:$A$4</xm:f>
          </x14:formula1>
          <xm:sqref>B2:B958</xm:sqref>
        </x14:dataValidation>
        <x14:dataValidation type="list" allowBlank="1" showInputMessage="1" showErrorMessage="1" xr:uid="{AE969ED4-C1FD-4CF1-B1C0-28DA0874DBA1}">
          <x14:formula1>
            <xm:f>REF!$A$106:$A$144</xm:f>
          </x14:formula1>
          <xm:sqref>E2:E958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3"/>
  <sheetViews>
    <sheetView topLeftCell="A108" workbookViewId="0">
      <selection activeCell="A138" sqref="A138"/>
    </sheetView>
  </sheetViews>
  <sheetFormatPr defaultRowHeight="15" x14ac:dyDescent="0.25"/>
  <cols>
    <col min="1" max="1" width="16.5703125" bestFit="1" customWidth="1"/>
    <col min="2" max="2" width="112.28515625" customWidth="1"/>
  </cols>
  <sheetData>
    <row r="1" spans="1:2" x14ac:dyDescent="0.25">
      <c r="A1" t="s">
        <v>32</v>
      </c>
      <c r="B1" t="s">
        <v>33</v>
      </c>
    </row>
    <row r="2" spans="1:2" x14ac:dyDescent="0.25">
      <c r="A2" s="50" t="s">
        <v>37</v>
      </c>
      <c r="B2" s="50"/>
    </row>
    <row r="3" spans="1:2" x14ac:dyDescent="0.25">
      <c r="A3" t="s">
        <v>28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s="50" t="s">
        <v>3</v>
      </c>
      <c r="B5" s="50"/>
    </row>
    <row r="6" spans="1:2" ht="15.75" x14ac:dyDescent="0.25">
      <c r="A6" s="6" t="s">
        <v>4</v>
      </c>
      <c r="B6" s="7" t="s">
        <v>38</v>
      </c>
    </row>
    <row r="7" spans="1:2" ht="15.75" x14ac:dyDescent="0.25">
      <c r="A7" s="6" t="s">
        <v>39</v>
      </c>
      <c r="B7" s="7" t="s">
        <v>40</v>
      </c>
    </row>
    <row r="8" spans="1:2" ht="15.75" x14ac:dyDescent="0.25">
      <c r="A8" s="6" t="s">
        <v>41</v>
      </c>
      <c r="B8" s="7" t="s">
        <v>42</v>
      </c>
    </row>
    <row r="9" spans="1:2" ht="15.75" x14ac:dyDescent="0.25">
      <c r="A9" s="6" t="s">
        <v>43</v>
      </c>
      <c r="B9" s="7" t="s">
        <v>44</v>
      </c>
    </row>
    <row r="10" spans="1:2" ht="15.75" x14ac:dyDescent="0.25">
      <c r="A10" s="6" t="s">
        <v>45</v>
      </c>
      <c r="B10" s="7" t="s">
        <v>46</v>
      </c>
    </row>
    <row r="11" spans="1:2" ht="15.75" x14ac:dyDescent="0.25">
      <c r="A11" s="6" t="s">
        <v>47</v>
      </c>
      <c r="B11" s="7" t="s">
        <v>48</v>
      </c>
    </row>
    <row r="12" spans="1:2" ht="15.75" x14ac:dyDescent="0.25">
      <c r="A12" s="6" t="s">
        <v>49</v>
      </c>
      <c r="B12" s="7" t="s">
        <v>50</v>
      </c>
    </row>
    <row r="13" spans="1:2" ht="15.75" x14ac:dyDescent="0.25">
      <c r="A13" s="6" t="s">
        <v>51</v>
      </c>
      <c r="B13" s="7" t="s">
        <v>52</v>
      </c>
    </row>
    <row r="14" spans="1:2" ht="15.75" x14ac:dyDescent="0.25">
      <c r="A14" s="6" t="s">
        <v>53</v>
      </c>
      <c r="B14" s="7" t="s">
        <v>54</v>
      </c>
    </row>
    <row r="15" spans="1:2" ht="15.75" x14ac:dyDescent="0.25">
      <c r="A15" s="6" t="s">
        <v>55</v>
      </c>
      <c r="B15" s="7" t="s">
        <v>56</v>
      </c>
    </row>
    <row r="16" spans="1:2" ht="15.75" customHeight="1" x14ac:dyDescent="0.25">
      <c r="A16" s="51" t="s">
        <v>93</v>
      </c>
      <c r="B16" s="52"/>
    </row>
    <row r="17" spans="1:8" ht="15.75" customHeight="1" x14ac:dyDescent="0.25">
      <c r="A17" s="9"/>
      <c r="B17" s="9" t="s">
        <v>99</v>
      </c>
    </row>
    <row r="18" spans="1:8" ht="15.75" x14ac:dyDescent="0.25">
      <c r="A18" s="8" t="s">
        <v>599</v>
      </c>
      <c r="B18" s="8" t="s">
        <v>103</v>
      </c>
      <c r="C18" s="53" t="s">
        <v>94</v>
      </c>
      <c r="H18" s="8"/>
    </row>
    <row r="19" spans="1:8" ht="15.75" x14ac:dyDescent="0.25">
      <c r="A19" s="8" t="s">
        <v>600</v>
      </c>
      <c r="B19" s="8" t="s">
        <v>104</v>
      </c>
      <c r="C19" s="53"/>
      <c r="H19" s="8"/>
    </row>
    <row r="20" spans="1:8" ht="15.75" x14ac:dyDescent="0.25">
      <c r="A20" s="8" t="s">
        <v>601</v>
      </c>
      <c r="B20" s="8" t="s">
        <v>105</v>
      </c>
      <c r="C20" s="53"/>
      <c r="H20" s="8"/>
    </row>
    <row r="21" spans="1:8" ht="15.75" x14ac:dyDescent="0.25">
      <c r="A21" s="15" t="s">
        <v>602</v>
      </c>
      <c r="B21" s="8" t="s">
        <v>106</v>
      </c>
      <c r="C21" s="53"/>
      <c r="H21" s="8"/>
    </row>
    <row r="22" spans="1:8" ht="15.75" x14ac:dyDescent="0.25">
      <c r="A22" s="8" t="s">
        <v>603</v>
      </c>
      <c r="B22" s="8" t="s">
        <v>107</v>
      </c>
      <c r="C22" s="53"/>
      <c r="H22" s="8"/>
    </row>
    <row r="23" spans="1:8" ht="15.75" x14ac:dyDescent="0.25">
      <c r="A23" s="8" t="s">
        <v>604</v>
      </c>
      <c r="B23" s="8" t="s">
        <v>108</v>
      </c>
      <c r="C23" s="53"/>
      <c r="H23" s="8"/>
    </row>
    <row r="24" spans="1:8" ht="15.75" x14ac:dyDescent="0.25">
      <c r="A24" s="8" t="s">
        <v>605</v>
      </c>
      <c r="B24" s="8" t="s">
        <v>109</v>
      </c>
      <c r="C24" s="53"/>
      <c r="H24" s="8"/>
    </row>
    <row r="25" spans="1:8" ht="15.75" x14ac:dyDescent="0.25">
      <c r="A25" s="8" t="s">
        <v>606</v>
      </c>
      <c r="B25" s="8" t="s">
        <v>110</v>
      </c>
      <c r="C25" s="53"/>
      <c r="H25" s="8"/>
    </row>
    <row r="26" spans="1:8" ht="15.75" x14ac:dyDescent="0.25">
      <c r="A26" s="8" t="s">
        <v>607</v>
      </c>
      <c r="B26" s="8" t="s">
        <v>111</v>
      </c>
      <c r="C26" s="53"/>
      <c r="H26" s="8"/>
    </row>
    <row r="27" spans="1:8" ht="15.75" x14ac:dyDescent="0.25">
      <c r="A27" s="8" t="s">
        <v>608</v>
      </c>
      <c r="B27" s="8" t="s">
        <v>112</v>
      </c>
      <c r="C27" s="53"/>
      <c r="H27" s="8"/>
    </row>
    <row r="28" spans="1:8" ht="15.75" x14ac:dyDescent="0.25">
      <c r="A28" s="8" t="s">
        <v>609</v>
      </c>
      <c r="B28" s="8" t="s">
        <v>113</v>
      </c>
      <c r="C28" s="53"/>
      <c r="H28" s="8"/>
    </row>
    <row r="29" spans="1:8" ht="15.75" x14ac:dyDescent="0.25">
      <c r="A29" s="8" t="s">
        <v>610</v>
      </c>
      <c r="B29" s="8" t="s">
        <v>114</v>
      </c>
      <c r="C29" s="53"/>
      <c r="H29" s="8"/>
    </row>
    <row r="30" spans="1:8" ht="15.75" x14ac:dyDescent="0.25">
      <c r="A30" s="23" t="s">
        <v>611</v>
      </c>
      <c r="B30" s="23" t="s">
        <v>670</v>
      </c>
      <c r="C30" s="53"/>
      <c r="D30" t="s">
        <v>656</v>
      </c>
      <c r="H30" s="24"/>
    </row>
    <row r="31" spans="1:8" ht="15.75" x14ac:dyDescent="0.25">
      <c r="A31" s="8" t="s">
        <v>612</v>
      </c>
      <c r="B31" s="8" t="s">
        <v>115</v>
      </c>
      <c r="C31" s="53"/>
      <c r="H31" s="8"/>
    </row>
    <row r="32" spans="1:8" ht="15.75" x14ac:dyDescent="0.25">
      <c r="A32" s="8" t="s">
        <v>613</v>
      </c>
      <c r="B32" s="8" t="s">
        <v>116</v>
      </c>
      <c r="C32" s="53"/>
      <c r="H32" s="8"/>
    </row>
    <row r="33" spans="1:8" ht="15.75" x14ac:dyDescent="0.25">
      <c r="A33" s="8" t="s">
        <v>614</v>
      </c>
      <c r="B33" s="8" t="s">
        <v>117</v>
      </c>
      <c r="C33" s="53"/>
      <c r="H33" s="8"/>
    </row>
    <row r="34" spans="1:8" ht="15.75" x14ac:dyDescent="0.25">
      <c r="A34" s="8" t="s">
        <v>615</v>
      </c>
      <c r="B34" s="8" t="s">
        <v>118</v>
      </c>
      <c r="C34" s="53"/>
      <c r="H34" s="8"/>
    </row>
    <row r="35" spans="1:8" ht="15.75" x14ac:dyDescent="0.25">
      <c r="A35" s="8" t="s">
        <v>616</v>
      </c>
      <c r="B35" s="8" t="s">
        <v>119</v>
      </c>
      <c r="C35" s="53"/>
      <c r="H35" s="8"/>
    </row>
    <row r="36" spans="1:8" ht="15.75" x14ac:dyDescent="0.25">
      <c r="A36" s="8" t="s">
        <v>617</v>
      </c>
      <c r="B36" s="8" t="s">
        <v>120</v>
      </c>
      <c r="C36" s="53"/>
      <c r="H36" s="8"/>
    </row>
    <row r="37" spans="1:8" ht="15.75" x14ac:dyDescent="0.25">
      <c r="A37" s="8" t="s">
        <v>618</v>
      </c>
      <c r="B37" s="8" t="s">
        <v>121</v>
      </c>
      <c r="C37" s="53"/>
      <c r="H37" s="8"/>
    </row>
    <row r="38" spans="1:8" ht="15.75" x14ac:dyDescent="0.25">
      <c r="A38" s="8" t="s">
        <v>619</v>
      </c>
      <c r="B38" s="8" t="s">
        <v>122</v>
      </c>
      <c r="C38" s="53"/>
      <c r="H38" s="8"/>
    </row>
    <row r="39" spans="1:8" ht="15.75" x14ac:dyDescent="0.25">
      <c r="A39" s="8" t="s">
        <v>620</v>
      </c>
      <c r="B39" s="8" t="s">
        <v>123</v>
      </c>
      <c r="C39" s="53"/>
      <c r="H39" s="8"/>
    </row>
    <row r="40" spans="1:8" ht="15.75" x14ac:dyDescent="0.25">
      <c r="A40" s="8" t="s">
        <v>621</v>
      </c>
      <c r="B40" s="8" t="s">
        <v>124</v>
      </c>
      <c r="C40" s="53"/>
      <c r="H40" s="8"/>
    </row>
    <row r="41" spans="1:8" ht="15.75" x14ac:dyDescent="0.25">
      <c r="A41" s="23" t="s">
        <v>622</v>
      </c>
      <c r="B41" s="25" t="s">
        <v>671</v>
      </c>
      <c r="C41" s="53"/>
      <c r="D41" t="s">
        <v>656</v>
      </c>
      <c r="H41" s="8"/>
    </row>
    <row r="42" spans="1:8" ht="15.75" x14ac:dyDescent="0.25">
      <c r="A42" s="8" t="s">
        <v>623</v>
      </c>
      <c r="B42" s="8" t="s">
        <v>125</v>
      </c>
      <c r="C42" s="53"/>
      <c r="H42" s="8"/>
    </row>
    <row r="43" spans="1:8" ht="15.75" x14ac:dyDescent="0.25">
      <c r="A43" s="8" t="s">
        <v>624</v>
      </c>
      <c r="B43" s="8" t="s">
        <v>126</v>
      </c>
      <c r="C43" s="53"/>
      <c r="H43" s="8"/>
    </row>
    <row r="44" spans="1:8" ht="15.75" x14ac:dyDescent="0.25">
      <c r="A44" s="8" t="s">
        <v>625</v>
      </c>
      <c r="B44" s="8" t="s">
        <v>127</v>
      </c>
      <c r="C44" s="53"/>
      <c r="H44" s="8"/>
    </row>
    <row r="45" spans="1:8" ht="15.75" x14ac:dyDescent="0.25">
      <c r="A45" s="8" t="s">
        <v>825</v>
      </c>
      <c r="B45" s="8" t="s">
        <v>826</v>
      </c>
      <c r="C45" s="22"/>
      <c r="H45" s="8"/>
    </row>
    <row r="46" spans="1:8" ht="15.75" x14ac:dyDescent="0.25">
      <c r="A46" s="8" t="s">
        <v>827</v>
      </c>
      <c r="B46" s="8" t="s">
        <v>828</v>
      </c>
      <c r="C46" s="22"/>
      <c r="H46" s="8"/>
    </row>
    <row r="47" spans="1:8" ht="15.75" x14ac:dyDescent="0.25">
      <c r="A47" s="8" t="s">
        <v>831</v>
      </c>
      <c r="B47" s="8" t="s">
        <v>832</v>
      </c>
      <c r="C47" s="22"/>
      <c r="H47" s="8"/>
    </row>
    <row r="48" spans="1:8" ht="15.75" x14ac:dyDescent="0.25">
      <c r="A48" s="8" t="s">
        <v>599</v>
      </c>
      <c r="B48" s="8" t="s">
        <v>128</v>
      </c>
      <c r="C48" s="53" t="s">
        <v>95</v>
      </c>
      <c r="H48" s="8"/>
    </row>
    <row r="49" spans="1:8" ht="15.75" x14ac:dyDescent="0.25">
      <c r="A49" s="8" t="s">
        <v>600</v>
      </c>
      <c r="B49" s="8" t="s">
        <v>129</v>
      </c>
      <c r="C49" s="53"/>
      <c r="H49" s="8"/>
    </row>
    <row r="50" spans="1:8" ht="15.75" x14ac:dyDescent="0.25">
      <c r="A50" s="8" t="s">
        <v>601</v>
      </c>
      <c r="B50" s="8" t="s">
        <v>130</v>
      </c>
      <c r="C50" s="53"/>
      <c r="H50" s="8"/>
    </row>
    <row r="51" spans="1:8" ht="15.75" x14ac:dyDescent="0.25">
      <c r="A51" s="15" t="s">
        <v>602</v>
      </c>
      <c r="B51" s="8" t="s">
        <v>131</v>
      </c>
      <c r="C51" s="53"/>
      <c r="H51" s="8"/>
    </row>
    <row r="52" spans="1:8" ht="15.75" x14ac:dyDescent="0.25">
      <c r="A52" s="8" t="s">
        <v>603</v>
      </c>
      <c r="B52" s="8" t="s">
        <v>132</v>
      </c>
      <c r="C52" s="53"/>
      <c r="H52" s="8"/>
    </row>
    <row r="53" spans="1:8" ht="15.75" x14ac:dyDescent="0.25">
      <c r="A53" s="8" t="s">
        <v>604</v>
      </c>
      <c r="B53" s="8" t="s">
        <v>133</v>
      </c>
      <c r="C53" s="53"/>
      <c r="H53" s="8"/>
    </row>
    <row r="54" spans="1:8" ht="15.75" x14ac:dyDescent="0.25">
      <c r="A54" s="8" t="s">
        <v>605</v>
      </c>
      <c r="B54" s="8" t="s">
        <v>134</v>
      </c>
      <c r="C54" s="53"/>
      <c r="H54" s="8"/>
    </row>
    <row r="55" spans="1:8" ht="15.75" x14ac:dyDescent="0.25">
      <c r="A55" s="8" t="s">
        <v>606</v>
      </c>
      <c r="B55" s="8" t="s">
        <v>135</v>
      </c>
      <c r="C55" s="53"/>
      <c r="H55" s="8"/>
    </row>
    <row r="56" spans="1:8" ht="15.75" x14ac:dyDescent="0.25">
      <c r="A56" s="8" t="s">
        <v>607</v>
      </c>
      <c r="B56" s="8" t="s">
        <v>136</v>
      </c>
      <c r="C56" s="53"/>
      <c r="H56" s="8"/>
    </row>
    <row r="57" spans="1:8" ht="15.75" x14ac:dyDescent="0.25">
      <c r="A57" s="8" t="s">
        <v>608</v>
      </c>
      <c r="B57" s="8" t="s">
        <v>137</v>
      </c>
      <c r="C57" s="53"/>
      <c r="H57" s="8"/>
    </row>
    <row r="58" spans="1:8" x14ac:dyDescent="0.25">
      <c r="A58" s="50" t="s">
        <v>102</v>
      </c>
      <c r="B58" s="50"/>
    </row>
    <row r="59" spans="1:8" ht="15.75" x14ac:dyDescent="0.25">
      <c r="B59" s="8" t="s">
        <v>99</v>
      </c>
    </row>
    <row r="60" spans="1:8" ht="15.75" x14ac:dyDescent="0.25">
      <c r="A60" s="8" t="s">
        <v>626</v>
      </c>
      <c r="B60" s="8" t="s">
        <v>57</v>
      </c>
      <c r="C60" s="53" t="s">
        <v>94</v>
      </c>
    </row>
    <row r="61" spans="1:8" ht="15.75" x14ac:dyDescent="0.25">
      <c r="A61" s="8" t="s">
        <v>627</v>
      </c>
      <c r="B61" s="8" t="s">
        <v>58</v>
      </c>
      <c r="C61" s="53"/>
    </row>
    <row r="62" spans="1:8" ht="15.75" x14ac:dyDescent="0.25">
      <c r="A62" s="8" t="s">
        <v>628</v>
      </c>
      <c r="B62" s="8" t="s">
        <v>59</v>
      </c>
      <c r="C62" s="53"/>
    </row>
    <row r="63" spans="1:8" ht="15.75" x14ac:dyDescent="0.25">
      <c r="A63" s="15" t="s">
        <v>629</v>
      </c>
      <c r="B63" s="8" t="s">
        <v>60</v>
      </c>
      <c r="C63" s="53"/>
    </row>
    <row r="64" spans="1:8" ht="15.75" x14ac:dyDescent="0.25">
      <c r="A64" s="8" t="s">
        <v>630</v>
      </c>
      <c r="B64" s="8" t="s">
        <v>61</v>
      </c>
      <c r="C64" s="53"/>
    </row>
    <row r="65" spans="1:4" ht="15.75" x14ac:dyDescent="0.25">
      <c r="A65" s="8" t="s">
        <v>631</v>
      </c>
      <c r="B65" s="8" t="s">
        <v>62</v>
      </c>
      <c r="C65" s="53"/>
    </row>
    <row r="66" spans="1:4" ht="15.75" x14ac:dyDescent="0.25">
      <c r="A66" s="8" t="s">
        <v>632</v>
      </c>
      <c r="B66" s="8" t="s">
        <v>63</v>
      </c>
      <c r="C66" s="53"/>
    </row>
    <row r="67" spans="1:4" ht="15.75" x14ac:dyDescent="0.25">
      <c r="A67" s="8" t="s">
        <v>633</v>
      </c>
      <c r="B67" s="8" t="s">
        <v>64</v>
      </c>
      <c r="C67" s="53"/>
    </row>
    <row r="68" spans="1:4" ht="15.75" x14ac:dyDescent="0.25">
      <c r="A68" s="8" t="s">
        <v>634</v>
      </c>
      <c r="B68" s="8" t="s">
        <v>65</v>
      </c>
      <c r="C68" s="53"/>
    </row>
    <row r="69" spans="1:4" ht="15.75" x14ac:dyDescent="0.25">
      <c r="A69" s="8" t="s">
        <v>635</v>
      </c>
      <c r="B69" s="8" t="s">
        <v>66</v>
      </c>
      <c r="C69" s="53"/>
    </row>
    <row r="70" spans="1:4" ht="15.75" x14ac:dyDescent="0.25">
      <c r="A70" s="8" t="s">
        <v>636</v>
      </c>
      <c r="B70" s="8" t="s">
        <v>67</v>
      </c>
      <c r="C70" s="53"/>
    </row>
    <row r="71" spans="1:4" ht="15.75" x14ac:dyDescent="0.25">
      <c r="A71" s="8" t="s">
        <v>637</v>
      </c>
      <c r="B71" s="8" t="s">
        <v>68</v>
      </c>
      <c r="C71" s="53"/>
    </row>
    <row r="72" spans="1:4" ht="15.75" x14ac:dyDescent="0.25">
      <c r="A72" s="23" t="s">
        <v>638</v>
      </c>
      <c r="B72" s="23" t="s">
        <v>655</v>
      </c>
      <c r="C72" s="53"/>
      <c r="D72" t="s">
        <v>656</v>
      </c>
    </row>
    <row r="73" spans="1:4" ht="15.75" x14ac:dyDescent="0.25">
      <c r="A73" s="8" t="s">
        <v>639</v>
      </c>
      <c r="B73" s="8" t="s">
        <v>69</v>
      </c>
      <c r="C73" s="53"/>
    </row>
    <row r="74" spans="1:4" ht="15.75" x14ac:dyDescent="0.25">
      <c r="A74" s="8" t="s">
        <v>640</v>
      </c>
      <c r="B74" s="8" t="s">
        <v>70</v>
      </c>
      <c r="C74" s="53"/>
    </row>
    <row r="75" spans="1:4" ht="15.75" x14ac:dyDescent="0.25">
      <c r="A75" s="8" t="s">
        <v>641</v>
      </c>
      <c r="B75" s="8" t="s">
        <v>71</v>
      </c>
      <c r="C75" s="53"/>
    </row>
    <row r="76" spans="1:4" ht="15.75" x14ac:dyDescent="0.25">
      <c r="A76" s="8" t="s">
        <v>642</v>
      </c>
      <c r="B76" s="8" t="s">
        <v>72</v>
      </c>
      <c r="C76" s="53"/>
    </row>
    <row r="77" spans="1:4" ht="15.75" x14ac:dyDescent="0.25">
      <c r="A77" s="8" t="s">
        <v>643</v>
      </c>
      <c r="B77" s="8" t="s">
        <v>73</v>
      </c>
      <c r="C77" s="53"/>
    </row>
    <row r="78" spans="1:4" ht="15.75" x14ac:dyDescent="0.25">
      <c r="A78" s="8" t="s">
        <v>644</v>
      </c>
      <c r="B78" s="8" t="s">
        <v>74</v>
      </c>
      <c r="C78" s="53"/>
    </row>
    <row r="79" spans="1:4" ht="15.75" x14ac:dyDescent="0.25">
      <c r="A79" s="8" t="s">
        <v>645</v>
      </c>
      <c r="B79" s="8" t="s">
        <v>75</v>
      </c>
      <c r="C79" s="53"/>
    </row>
    <row r="80" spans="1:4" ht="15.75" x14ac:dyDescent="0.25">
      <c r="A80" s="8" t="s">
        <v>646</v>
      </c>
      <c r="B80" s="8" t="s">
        <v>76</v>
      </c>
      <c r="C80" s="53"/>
    </row>
    <row r="81" spans="1:3" ht="15.75" x14ac:dyDescent="0.25">
      <c r="A81" s="8" t="s">
        <v>647</v>
      </c>
      <c r="B81" s="8" t="s">
        <v>77</v>
      </c>
      <c r="C81" s="53"/>
    </row>
    <row r="82" spans="1:3" ht="15.75" x14ac:dyDescent="0.25">
      <c r="A82" s="8" t="s">
        <v>648</v>
      </c>
      <c r="B82" s="8" t="s">
        <v>78</v>
      </c>
      <c r="C82" s="53"/>
    </row>
    <row r="83" spans="1:3" ht="15.75" x14ac:dyDescent="0.25">
      <c r="A83" s="8" t="s">
        <v>649</v>
      </c>
      <c r="B83" s="8" t="s">
        <v>79</v>
      </c>
      <c r="C83" s="53"/>
    </row>
    <row r="84" spans="1:3" ht="15.75" x14ac:dyDescent="0.25">
      <c r="A84" s="8" t="s">
        <v>650</v>
      </c>
      <c r="B84" s="8" t="s">
        <v>80</v>
      </c>
      <c r="C84" s="53"/>
    </row>
    <row r="85" spans="1:3" ht="15.75" x14ac:dyDescent="0.25">
      <c r="A85" s="8" t="s">
        <v>651</v>
      </c>
      <c r="B85" s="8" t="s">
        <v>81</v>
      </c>
      <c r="C85" s="53"/>
    </row>
    <row r="86" spans="1:3" ht="15.75" x14ac:dyDescent="0.25">
      <c r="A86" s="8" t="s">
        <v>652</v>
      </c>
      <c r="B86" s="8" t="s">
        <v>82</v>
      </c>
      <c r="C86" s="53"/>
    </row>
    <row r="87" spans="1:3" ht="15.75" x14ac:dyDescent="0.25">
      <c r="A87" s="8" t="s">
        <v>821</v>
      </c>
      <c r="B87" s="8" t="s">
        <v>822</v>
      </c>
      <c r="C87" s="22"/>
    </row>
    <row r="88" spans="1:3" ht="15.75" x14ac:dyDescent="0.25">
      <c r="A88" s="8" t="s">
        <v>823</v>
      </c>
      <c r="B88" s="8" t="s">
        <v>824</v>
      </c>
      <c r="C88" s="22"/>
    </row>
    <row r="89" spans="1:3" ht="15.75" x14ac:dyDescent="0.25">
      <c r="A89" s="8" t="s">
        <v>829</v>
      </c>
      <c r="B89" s="8" t="s">
        <v>830</v>
      </c>
      <c r="C89" s="22"/>
    </row>
    <row r="90" spans="1:3" ht="15.75" x14ac:dyDescent="0.25">
      <c r="A90" s="8" t="s">
        <v>626</v>
      </c>
      <c r="B90" s="8" t="s">
        <v>83</v>
      </c>
      <c r="C90" s="53" t="s">
        <v>95</v>
      </c>
    </row>
    <row r="91" spans="1:3" ht="15.75" x14ac:dyDescent="0.25">
      <c r="A91" s="8" t="s">
        <v>627</v>
      </c>
      <c r="B91" s="8" t="s">
        <v>84</v>
      </c>
      <c r="C91" s="53"/>
    </row>
    <row r="92" spans="1:3" ht="15.75" x14ac:dyDescent="0.25">
      <c r="A92" s="8" t="s">
        <v>628</v>
      </c>
      <c r="B92" s="8" t="s">
        <v>85</v>
      </c>
      <c r="C92" s="53"/>
    </row>
    <row r="93" spans="1:3" ht="15.75" x14ac:dyDescent="0.25">
      <c r="A93" s="15" t="s">
        <v>629</v>
      </c>
      <c r="B93" s="8" t="s">
        <v>86</v>
      </c>
      <c r="C93" s="53"/>
    </row>
    <row r="94" spans="1:3" ht="15.75" x14ac:dyDescent="0.25">
      <c r="A94" s="8" t="s">
        <v>630</v>
      </c>
      <c r="B94" s="8" t="s">
        <v>87</v>
      </c>
      <c r="C94" s="53"/>
    </row>
    <row r="95" spans="1:3" ht="15.75" x14ac:dyDescent="0.25">
      <c r="A95" s="8" t="s">
        <v>631</v>
      </c>
      <c r="B95" s="8" t="s">
        <v>88</v>
      </c>
      <c r="C95" s="53"/>
    </row>
    <row r="96" spans="1:3" ht="15.75" x14ac:dyDescent="0.25">
      <c r="A96" s="8" t="s">
        <v>632</v>
      </c>
      <c r="B96" s="8" t="s">
        <v>89</v>
      </c>
      <c r="C96" s="53"/>
    </row>
    <row r="97" spans="1:3" ht="15.75" x14ac:dyDescent="0.25">
      <c r="A97" s="8" t="s">
        <v>633</v>
      </c>
      <c r="B97" s="8" t="s">
        <v>90</v>
      </c>
      <c r="C97" s="53"/>
    </row>
    <row r="98" spans="1:3" ht="15.75" x14ac:dyDescent="0.25">
      <c r="A98" s="8" t="s">
        <v>634</v>
      </c>
      <c r="B98" s="8" t="s">
        <v>91</v>
      </c>
      <c r="C98" s="53"/>
    </row>
    <row r="99" spans="1:3" ht="15.75" x14ac:dyDescent="0.25">
      <c r="A99" s="8" t="s">
        <v>635</v>
      </c>
      <c r="B99" s="8" t="s">
        <v>92</v>
      </c>
      <c r="C99" s="53"/>
    </row>
    <row r="100" spans="1:3" x14ac:dyDescent="0.25">
      <c r="A100" s="50" t="s">
        <v>138</v>
      </c>
      <c r="B100" s="50"/>
    </row>
    <row r="101" spans="1:3" ht="15.75" x14ac:dyDescent="0.25">
      <c r="A101" s="8" t="s">
        <v>8</v>
      </c>
      <c r="B101" s="8" t="s">
        <v>142</v>
      </c>
    </row>
    <row r="102" spans="1:3" ht="15.75" x14ac:dyDescent="0.25">
      <c r="A102" s="8" t="s">
        <v>139</v>
      </c>
      <c r="B102" s="8" t="s">
        <v>143</v>
      </c>
    </row>
    <row r="103" spans="1:3" ht="15.75" x14ac:dyDescent="0.25">
      <c r="A103" s="8" t="s">
        <v>140</v>
      </c>
      <c r="B103" s="8" t="s">
        <v>144</v>
      </c>
    </row>
    <row r="104" spans="1:3" ht="15.75" x14ac:dyDescent="0.25">
      <c r="A104" s="8" t="s">
        <v>141</v>
      </c>
      <c r="B104" s="8" t="s">
        <v>145</v>
      </c>
    </row>
    <row r="105" spans="1:3" ht="15.75" x14ac:dyDescent="0.25">
      <c r="A105" s="54" t="s">
        <v>506</v>
      </c>
      <c r="B105" s="54"/>
    </row>
    <row r="106" spans="1:3" x14ac:dyDescent="0.25">
      <c r="A106" s="11" t="s">
        <v>513</v>
      </c>
      <c r="B106" s="11" t="s">
        <v>514</v>
      </c>
    </row>
    <row r="107" spans="1:3" x14ac:dyDescent="0.25">
      <c r="A107" s="11" t="s">
        <v>30</v>
      </c>
      <c r="B107" s="11" t="s">
        <v>515</v>
      </c>
    </row>
    <row r="108" spans="1:3" x14ac:dyDescent="0.25">
      <c r="A108" s="11" t="s">
        <v>507</v>
      </c>
      <c r="B108" s="11" t="s">
        <v>508</v>
      </c>
    </row>
    <row r="109" spans="1:3" x14ac:dyDescent="0.25">
      <c r="A109" s="11" t="s">
        <v>509</v>
      </c>
      <c r="B109" s="11" t="s">
        <v>510</v>
      </c>
    </row>
    <row r="110" spans="1:3" x14ac:dyDescent="0.25">
      <c r="A110" s="11" t="s">
        <v>511</v>
      </c>
      <c r="B110" s="11" t="s">
        <v>512</v>
      </c>
    </row>
    <row r="111" spans="1:3" x14ac:dyDescent="0.25">
      <c r="A111" s="11" t="s">
        <v>516</v>
      </c>
      <c r="B111" s="11" t="s">
        <v>517</v>
      </c>
    </row>
    <row r="112" spans="1:3" x14ac:dyDescent="0.25">
      <c r="A112" s="11" t="s">
        <v>518</v>
      </c>
      <c r="B112" s="11" t="s">
        <v>519</v>
      </c>
    </row>
    <row r="113" spans="1:2" x14ac:dyDescent="0.25">
      <c r="A113" s="11" t="s">
        <v>520</v>
      </c>
      <c r="B113" s="11" t="s">
        <v>521</v>
      </c>
    </row>
    <row r="114" spans="1:2" x14ac:dyDescent="0.25">
      <c r="A114" s="11" t="s">
        <v>522</v>
      </c>
      <c r="B114" s="11" t="s">
        <v>523</v>
      </c>
    </row>
    <row r="115" spans="1:2" x14ac:dyDescent="0.25">
      <c r="A115" s="11" t="s">
        <v>524</v>
      </c>
      <c r="B115" s="11" t="s">
        <v>525</v>
      </c>
    </row>
    <row r="116" spans="1:2" x14ac:dyDescent="0.25">
      <c r="A116" s="11" t="s">
        <v>526</v>
      </c>
      <c r="B116" s="11" t="s">
        <v>527</v>
      </c>
    </row>
    <row r="117" spans="1:2" x14ac:dyDescent="0.25">
      <c r="A117" s="11" t="s">
        <v>528</v>
      </c>
      <c r="B117" s="11" t="s">
        <v>529</v>
      </c>
    </row>
    <row r="118" spans="1:2" x14ac:dyDescent="0.25">
      <c r="A118" s="11" t="s">
        <v>530</v>
      </c>
      <c r="B118" s="11" t="s">
        <v>531</v>
      </c>
    </row>
    <row r="119" spans="1:2" x14ac:dyDescent="0.25">
      <c r="A119" s="11" t="s">
        <v>532</v>
      </c>
      <c r="B119" s="11" t="s">
        <v>657</v>
      </c>
    </row>
    <row r="120" spans="1:2" x14ac:dyDescent="0.25">
      <c r="A120" s="11" t="s">
        <v>533</v>
      </c>
      <c r="B120" s="11" t="s">
        <v>534</v>
      </c>
    </row>
    <row r="121" spans="1:2" x14ac:dyDescent="0.25">
      <c r="A121" s="11" t="s">
        <v>535</v>
      </c>
      <c r="B121" s="11" t="s">
        <v>536</v>
      </c>
    </row>
    <row r="122" spans="1:2" x14ac:dyDescent="0.25">
      <c r="A122" s="11" t="s">
        <v>537</v>
      </c>
      <c r="B122" s="11" t="s">
        <v>538</v>
      </c>
    </row>
    <row r="123" spans="1:2" x14ac:dyDescent="0.25">
      <c r="A123" s="11" t="s">
        <v>539</v>
      </c>
      <c r="B123" s="11" t="s">
        <v>540</v>
      </c>
    </row>
    <row r="124" spans="1:2" x14ac:dyDescent="0.25">
      <c r="A124" s="11" t="s">
        <v>541</v>
      </c>
      <c r="B124" s="11" t="s">
        <v>542</v>
      </c>
    </row>
    <row r="125" spans="1:2" x14ac:dyDescent="0.25">
      <c r="A125" s="11" t="s">
        <v>543</v>
      </c>
      <c r="B125" s="11" t="s">
        <v>544</v>
      </c>
    </row>
    <row r="126" spans="1:2" x14ac:dyDescent="0.25">
      <c r="A126" s="11" t="s">
        <v>545</v>
      </c>
      <c r="B126" s="11" t="s">
        <v>546</v>
      </c>
    </row>
    <row r="127" spans="1:2" x14ac:dyDescent="0.25">
      <c r="A127" s="11" t="s">
        <v>547</v>
      </c>
      <c r="B127" s="11" t="s">
        <v>548</v>
      </c>
    </row>
    <row r="128" spans="1:2" x14ac:dyDescent="0.25">
      <c r="A128" s="11" t="s">
        <v>549</v>
      </c>
      <c r="B128" s="11" t="s">
        <v>550</v>
      </c>
    </row>
    <row r="129" spans="1:3" x14ac:dyDescent="0.25">
      <c r="A129" s="11" t="s">
        <v>551</v>
      </c>
      <c r="B129" s="11" t="s">
        <v>552</v>
      </c>
    </row>
    <row r="130" spans="1:3" x14ac:dyDescent="0.25">
      <c r="A130" s="11" t="s">
        <v>553</v>
      </c>
      <c r="B130" s="11" t="s">
        <v>554</v>
      </c>
    </row>
    <row r="131" spans="1:3" x14ac:dyDescent="0.25">
      <c r="A131" s="11" t="s">
        <v>555</v>
      </c>
      <c r="B131" s="11" t="s">
        <v>556</v>
      </c>
    </row>
    <row r="132" spans="1:3" x14ac:dyDescent="0.25">
      <c r="A132" s="11" t="s">
        <v>557</v>
      </c>
      <c r="B132" s="11" t="s">
        <v>558</v>
      </c>
    </row>
    <row r="133" spans="1:3" x14ac:dyDescent="0.25">
      <c r="A133" s="11" t="s">
        <v>559</v>
      </c>
      <c r="B133" s="11" t="s">
        <v>560</v>
      </c>
    </row>
    <row r="134" spans="1:3" x14ac:dyDescent="0.25">
      <c r="A134" s="11" t="s">
        <v>561</v>
      </c>
      <c r="B134" s="11" t="s">
        <v>562</v>
      </c>
    </row>
    <row r="135" spans="1:3" x14ac:dyDescent="0.25">
      <c r="A135" s="11" t="s">
        <v>563</v>
      </c>
      <c r="B135" s="11" t="s">
        <v>564</v>
      </c>
    </row>
    <row r="136" spans="1:3" x14ac:dyDescent="0.25">
      <c r="A136" s="11" t="s">
        <v>565</v>
      </c>
      <c r="B136" s="11" t="s">
        <v>566</v>
      </c>
    </row>
    <row r="137" spans="1:3" x14ac:dyDescent="0.25">
      <c r="A137" s="11" t="s">
        <v>567</v>
      </c>
      <c r="B137" s="11" t="s">
        <v>568</v>
      </c>
    </row>
    <row r="138" spans="1:3" x14ac:dyDescent="0.25">
      <c r="A138" s="11" t="s">
        <v>569</v>
      </c>
      <c r="B138" s="11" t="s">
        <v>570</v>
      </c>
    </row>
    <row r="139" spans="1:3" x14ac:dyDescent="0.25">
      <c r="A139" s="26" t="s">
        <v>658</v>
      </c>
      <c r="B139" s="26" t="s">
        <v>659</v>
      </c>
      <c r="C139" t="s">
        <v>672</v>
      </c>
    </row>
    <row r="140" spans="1:3" x14ac:dyDescent="0.25">
      <c r="A140" s="26" t="s">
        <v>660</v>
      </c>
      <c r="B140" s="26" t="s">
        <v>661</v>
      </c>
      <c r="C140" t="s">
        <v>672</v>
      </c>
    </row>
    <row r="141" spans="1:3" x14ac:dyDescent="0.25">
      <c r="A141" s="26" t="s">
        <v>662</v>
      </c>
      <c r="B141" s="26" t="s">
        <v>663</v>
      </c>
      <c r="C141" t="s">
        <v>672</v>
      </c>
    </row>
    <row r="142" spans="1:3" x14ac:dyDescent="0.25">
      <c r="A142" s="26" t="s">
        <v>664</v>
      </c>
      <c r="B142" s="26" t="s">
        <v>665</v>
      </c>
      <c r="C142" t="s">
        <v>672</v>
      </c>
    </row>
    <row r="143" spans="1:3" x14ac:dyDescent="0.25">
      <c r="A143" s="26" t="s">
        <v>666</v>
      </c>
      <c r="B143" s="26" t="s">
        <v>667</v>
      </c>
      <c r="C143" t="s">
        <v>672</v>
      </c>
    </row>
    <row r="144" spans="1:3" x14ac:dyDescent="0.25">
      <c r="A144" s="26" t="s">
        <v>668</v>
      </c>
      <c r="B144" s="26" t="s">
        <v>669</v>
      </c>
      <c r="C144" t="s">
        <v>672</v>
      </c>
    </row>
    <row r="145" spans="1:2" x14ac:dyDescent="0.25">
      <c r="A145" s="11"/>
      <c r="B145" s="11"/>
    </row>
    <row r="146" spans="1:2" ht="15.75" x14ac:dyDescent="0.25">
      <c r="A146" s="8"/>
      <c r="B146" s="8"/>
    </row>
    <row r="147" spans="1:2" x14ac:dyDescent="0.25">
      <c r="A147" s="50" t="s">
        <v>146</v>
      </c>
      <c r="B147" s="50"/>
    </row>
    <row r="148" spans="1:2" ht="15.75" x14ac:dyDescent="0.25">
      <c r="A148" s="10" t="s">
        <v>147</v>
      </c>
      <c r="B148" s="10" t="s">
        <v>148</v>
      </c>
    </row>
    <row r="149" spans="1:2" ht="15.75" x14ac:dyDescent="0.25">
      <c r="A149" s="10" t="s">
        <v>149</v>
      </c>
      <c r="B149" s="10" t="s">
        <v>673</v>
      </c>
    </row>
    <row r="150" spans="1:2" ht="15.75" x14ac:dyDescent="0.25">
      <c r="A150" s="10" t="s">
        <v>150</v>
      </c>
      <c r="B150" s="10" t="s">
        <v>151</v>
      </c>
    </row>
    <row r="151" spans="1:2" ht="15.75" x14ac:dyDescent="0.25">
      <c r="A151" s="10" t="s">
        <v>152</v>
      </c>
      <c r="B151" s="10" t="s">
        <v>151</v>
      </c>
    </row>
    <row r="152" spans="1:2" ht="15.75" x14ac:dyDescent="0.25">
      <c r="A152" s="10" t="s">
        <v>153</v>
      </c>
      <c r="B152" s="10" t="s">
        <v>674</v>
      </c>
    </row>
    <row r="153" spans="1:2" ht="15.75" x14ac:dyDescent="0.25">
      <c r="A153" s="10" t="s">
        <v>154</v>
      </c>
      <c r="B153" s="10" t="s">
        <v>155</v>
      </c>
    </row>
    <row r="154" spans="1:2" ht="15.75" x14ac:dyDescent="0.25">
      <c r="A154" s="10" t="s">
        <v>156</v>
      </c>
      <c r="B154" s="10" t="s">
        <v>157</v>
      </c>
    </row>
    <row r="155" spans="1:2" ht="15.75" x14ac:dyDescent="0.25">
      <c r="A155" s="10" t="s">
        <v>158</v>
      </c>
      <c r="B155" s="10" t="s">
        <v>675</v>
      </c>
    </row>
    <row r="156" spans="1:2" ht="15.75" x14ac:dyDescent="0.25">
      <c r="A156" s="10" t="s">
        <v>159</v>
      </c>
      <c r="B156" s="10" t="s">
        <v>160</v>
      </c>
    </row>
    <row r="157" spans="1:2" ht="15.75" x14ac:dyDescent="0.25">
      <c r="A157" s="10" t="s">
        <v>161</v>
      </c>
      <c r="B157" s="10" t="s">
        <v>162</v>
      </c>
    </row>
    <row r="158" spans="1:2" ht="15.75" x14ac:dyDescent="0.25">
      <c r="A158" s="10" t="s">
        <v>163</v>
      </c>
      <c r="B158" s="10" t="s">
        <v>676</v>
      </c>
    </row>
    <row r="159" spans="1:2" ht="15.75" x14ac:dyDescent="0.25">
      <c r="A159" s="10" t="s">
        <v>164</v>
      </c>
      <c r="B159" s="10" t="s">
        <v>677</v>
      </c>
    </row>
    <row r="160" spans="1:2" ht="15.75" x14ac:dyDescent="0.25">
      <c r="A160" s="10" t="s">
        <v>165</v>
      </c>
      <c r="B160" s="10" t="s">
        <v>678</v>
      </c>
    </row>
    <row r="161" spans="1:2" ht="15.75" x14ac:dyDescent="0.25">
      <c r="A161" s="10" t="s">
        <v>166</v>
      </c>
      <c r="B161" s="10" t="s">
        <v>679</v>
      </c>
    </row>
    <row r="162" spans="1:2" ht="15.75" x14ac:dyDescent="0.25">
      <c r="A162" s="10" t="s">
        <v>167</v>
      </c>
      <c r="B162" s="10" t="s">
        <v>168</v>
      </c>
    </row>
    <row r="163" spans="1:2" ht="15.75" x14ac:dyDescent="0.25">
      <c r="A163" s="10" t="s">
        <v>169</v>
      </c>
      <c r="B163" s="10" t="s">
        <v>170</v>
      </c>
    </row>
    <row r="164" spans="1:2" ht="15.75" x14ac:dyDescent="0.25">
      <c r="A164" s="10" t="s">
        <v>171</v>
      </c>
      <c r="B164" s="10" t="s">
        <v>172</v>
      </c>
    </row>
    <row r="165" spans="1:2" ht="15.75" x14ac:dyDescent="0.25">
      <c r="A165" s="10" t="s">
        <v>173</v>
      </c>
      <c r="B165" s="10" t="s">
        <v>174</v>
      </c>
    </row>
    <row r="166" spans="1:2" ht="15.75" x14ac:dyDescent="0.25">
      <c r="A166" s="10" t="s">
        <v>175</v>
      </c>
      <c r="B166" s="10" t="s">
        <v>680</v>
      </c>
    </row>
    <row r="167" spans="1:2" ht="15.75" x14ac:dyDescent="0.25">
      <c r="A167" s="10" t="s">
        <v>176</v>
      </c>
      <c r="B167" s="10" t="s">
        <v>177</v>
      </c>
    </row>
    <row r="168" spans="1:2" ht="15.75" x14ac:dyDescent="0.25">
      <c r="A168" s="10" t="s">
        <v>178</v>
      </c>
      <c r="B168" s="10" t="s">
        <v>681</v>
      </c>
    </row>
    <row r="169" spans="1:2" ht="15.75" x14ac:dyDescent="0.25">
      <c r="A169" s="10" t="s">
        <v>179</v>
      </c>
      <c r="B169" s="10" t="s">
        <v>180</v>
      </c>
    </row>
    <row r="170" spans="1:2" ht="15.75" x14ac:dyDescent="0.25">
      <c r="A170" s="10" t="s">
        <v>181</v>
      </c>
      <c r="B170" s="10" t="s">
        <v>182</v>
      </c>
    </row>
    <row r="171" spans="1:2" ht="15.75" x14ac:dyDescent="0.25">
      <c r="A171" s="10" t="s">
        <v>183</v>
      </c>
      <c r="B171" s="10" t="s">
        <v>184</v>
      </c>
    </row>
    <row r="172" spans="1:2" ht="15.75" x14ac:dyDescent="0.25">
      <c r="A172" s="10" t="s">
        <v>185</v>
      </c>
      <c r="B172" s="10" t="s">
        <v>186</v>
      </c>
    </row>
    <row r="173" spans="1:2" ht="15.75" x14ac:dyDescent="0.25">
      <c r="A173" s="10" t="s">
        <v>187</v>
      </c>
      <c r="B173" s="10" t="s">
        <v>682</v>
      </c>
    </row>
    <row r="174" spans="1:2" ht="15.75" x14ac:dyDescent="0.25">
      <c r="A174" s="10" t="s">
        <v>188</v>
      </c>
      <c r="B174" s="10" t="s">
        <v>683</v>
      </c>
    </row>
    <row r="175" spans="1:2" ht="15.75" x14ac:dyDescent="0.25">
      <c r="A175" s="10" t="s">
        <v>189</v>
      </c>
      <c r="B175" s="10" t="s">
        <v>684</v>
      </c>
    </row>
    <row r="176" spans="1:2" ht="15.75" x14ac:dyDescent="0.25">
      <c r="A176" s="10" t="s">
        <v>190</v>
      </c>
      <c r="B176" s="10" t="s">
        <v>685</v>
      </c>
    </row>
    <row r="177" spans="1:2" ht="15.75" x14ac:dyDescent="0.25">
      <c r="A177" s="10" t="s">
        <v>191</v>
      </c>
      <c r="B177" s="10" t="s">
        <v>192</v>
      </c>
    </row>
    <row r="178" spans="1:2" ht="15.75" x14ac:dyDescent="0.25">
      <c r="A178" s="10" t="s">
        <v>193</v>
      </c>
      <c r="B178" s="10" t="s">
        <v>194</v>
      </c>
    </row>
    <row r="179" spans="1:2" ht="15.75" x14ac:dyDescent="0.25">
      <c r="A179" s="10" t="s">
        <v>195</v>
      </c>
      <c r="B179" s="10" t="s">
        <v>686</v>
      </c>
    </row>
    <row r="180" spans="1:2" ht="15.75" x14ac:dyDescent="0.25">
      <c r="A180" s="10" t="s">
        <v>196</v>
      </c>
      <c r="B180" s="10" t="s">
        <v>687</v>
      </c>
    </row>
    <row r="181" spans="1:2" ht="15.75" x14ac:dyDescent="0.25">
      <c r="A181" s="10" t="s">
        <v>197</v>
      </c>
      <c r="B181" s="10" t="s">
        <v>198</v>
      </c>
    </row>
    <row r="182" spans="1:2" ht="15.75" x14ac:dyDescent="0.25">
      <c r="A182" s="10" t="s">
        <v>199</v>
      </c>
      <c r="B182" s="10" t="s">
        <v>200</v>
      </c>
    </row>
    <row r="183" spans="1:2" ht="15.75" x14ac:dyDescent="0.25">
      <c r="A183" s="10" t="s">
        <v>201</v>
      </c>
      <c r="B183" s="10" t="s">
        <v>202</v>
      </c>
    </row>
    <row r="184" spans="1:2" ht="15.75" x14ac:dyDescent="0.25">
      <c r="A184" s="10" t="s">
        <v>203</v>
      </c>
      <c r="B184" s="10" t="s">
        <v>688</v>
      </c>
    </row>
    <row r="185" spans="1:2" ht="15.75" x14ac:dyDescent="0.25">
      <c r="A185" s="10" t="s">
        <v>204</v>
      </c>
      <c r="B185" s="10" t="s">
        <v>205</v>
      </c>
    </row>
    <row r="186" spans="1:2" ht="15.75" x14ac:dyDescent="0.25">
      <c r="A186" s="10" t="s">
        <v>206</v>
      </c>
      <c r="B186" s="10" t="s">
        <v>689</v>
      </c>
    </row>
    <row r="187" spans="1:2" ht="15.75" x14ac:dyDescent="0.25">
      <c r="A187" s="10" t="s">
        <v>207</v>
      </c>
      <c r="B187" s="10" t="s">
        <v>690</v>
      </c>
    </row>
    <row r="188" spans="1:2" ht="15.75" x14ac:dyDescent="0.25">
      <c r="A188" s="10" t="s">
        <v>208</v>
      </c>
      <c r="B188" s="10" t="s">
        <v>691</v>
      </c>
    </row>
    <row r="189" spans="1:2" ht="15.75" x14ac:dyDescent="0.25">
      <c r="A189" s="10" t="s">
        <v>209</v>
      </c>
      <c r="B189" s="10" t="s">
        <v>692</v>
      </c>
    </row>
    <row r="190" spans="1:2" ht="15.75" x14ac:dyDescent="0.25">
      <c r="A190" s="10" t="s">
        <v>210</v>
      </c>
      <c r="B190" s="10" t="s">
        <v>693</v>
      </c>
    </row>
    <row r="191" spans="1:2" ht="15.75" x14ac:dyDescent="0.25">
      <c r="A191" s="10" t="s">
        <v>211</v>
      </c>
      <c r="B191" s="10" t="s">
        <v>694</v>
      </c>
    </row>
    <row r="192" spans="1:2" ht="15.75" x14ac:dyDescent="0.25">
      <c r="A192" s="10" t="s">
        <v>212</v>
      </c>
      <c r="B192" s="10" t="s">
        <v>695</v>
      </c>
    </row>
    <row r="193" spans="1:2" ht="15.75" x14ac:dyDescent="0.25">
      <c r="A193" s="10" t="s">
        <v>213</v>
      </c>
      <c r="B193" s="10" t="s">
        <v>696</v>
      </c>
    </row>
    <row r="194" spans="1:2" ht="15.75" x14ac:dyDescent="0.25">
      <c r="A194" s="10" t="s">
        <v>214</v>
      </c>
      <c r="B194" s="10" t="s">
        <v>697</v>
      </c>
    </row>
    <row r="195" spans="1:2" ht="15.75" x14ac:dyDescent="0.25">
      <c r="A195" s="10" t="s">
        <v>215</v>
      </c>
      <c r="B195" s="10" t="s">
        <v>698</v>
      </c>
    </row>
    <row r="196" spans="1:2" ht="15.75" x14ac:dyDescent="0.25">
      <c r="A196" s="10" t="s">
        <v>216</v>
      </c>
      <c r="B196" s="10" t="s">
        <v>699</v>
      </c>
    </row>
    <row r="197" spans="1:2" ht="15.75" x14ac:dyDescent="0.25">
      <c r="A197" s="10" t="s">
        <v>217</v>
      </c>
      <c r="B197" s="10" t="s">
        <v>700</v>
      </c>
    </row>
    <row r="198" spans="1:2" ht="15.75" x14ac:dyDescent="0.25">
      <c r="A198" s="10" t="s">
        <v>218</v>
      </c>
      <c r="B198" s="10" t="s">
        <v>701</v>
      </c>
    </row>
    <row r="199" spans="1:2" ht="15.75" x14ac:dyDescent="0.25">
      <c r="A199" s="10" t="s">
        <v>219</v>
      </c>
      <c r="B199" s="10" t="s">
        <v>220</v>
      </c>
    </row>
    <row r="200" spans="1:2" ht="15.75" x14ac:dyDescent="0.25">
      <c r="A200" s="10" t="s">
        <v>221</v>
      </c>
      <c r="B200" s="10" t="s">
        <v>702</v>
      </c>
    </row>
    <row r="201" spans="1:2" ht="15.75" x14ac:dyDescent="0.25">
      <c r="A201" s="10" t="s">
        <v>222</v>
      </c>
      <c r="B201" s="10" t="s">
        <v>703</v>
      </c>
    </row>
    <row r="202" spans="1:2" ht="15.75" x14ac:dyDescent="0.25">
      <c r="A202" s="10" t="s">
        <v>223</v>
      </c>
      <c r="B202" s="10" t="s">
        <v>224</v>
      </c>
    </row>
    <row r="203" spans="1:2" ht="15.75" x14ac:dyDescent="0.25">
      <c r="A203" s="10" t="s">
        <v>225</v>
      </c>
      <c r="B203" s="10" t="s">
        <v>704</v>
      </c>
    </row>
    <row r="204" spans="1:2" ht="15.75" x14ac:dyDescent="0.25">
      <c r="A204" s="10" t="s">
        <v>226</v>
      </c>
      <c r="B204" s="10" t="s">
        <v>705</v>
      </c>
    </row>
    <row r="205" spans="1:2" ht="15.75" x14ac:dyDescent="0.25">
      <c r="A205" s="10" t="s">
        <v>227</v>
      </c>
      <c r="B205" s="10" t="s">
        <v>706</v>
      </c>
    </row>
    <row r="206" spans="1:2" ht="15.75" x14ac:dyDescent="0.25">
      <c r="A206" s="10" t="s">
        <v>228</v>
      </c>
      <c r="B206" s="10" t="s">
        <v>707</v>
      </c>
    </row>
    <row r="207" spans="1:2" ht="15.75" x14ac:dyDescent="0.25">
      <c r="A207" s="10" t="s">
        <v>229</v>
      </c>
      <c r="B207" s="10" t="s">
        <v>708</v>
      </c>
    </row>
    <row r="208" spans="1:2" ht="15.75" x14ac:dyDescent="0.25">
      <c r="A208" s="10" t="s">
        <v>230</v>
      </c>
      <c r="B208" s="10" t="s">
        <v>231</v>
      </c>
    </row>
    <row r="209" spans="1:2" ht="15.75" x14ac:dyDescent="0.25">
      <c r="A209" s="10" t="s">
        <v>232</v>
      </c>
      <c r="B209" s="10" t="s">
        <v>709</v>
      </c>
    </row>
    <row r="210" spans="1:2" ht="15.75" x14ac:dyDescent="0.25">
      <c r="A210" s="10" t="s">
        <v>233</v>
      </c>
      <c r="B210" s="10" t="s">
        <v>234</v>
      </c>
    </row>
    <row r="211" spans="1:2" ht="15.75" x14ac:dyDescent="0.25">
      <c r="A211" s="10" t="s">
        <v>235</v>
      </c>
      <c r="B211" s="10" t="s">
        <v>710</v>
      </c>
    </row>
    <row r="212" spans="1:2" ht="15.75" x14ac:dyDescent="0.25">
      <c r="A212" s="10" t="s">
        <v>236</v>
      </c>
      <c r="B212" s="10" t="s">
        <v>711</v>
      </c>
    </row>
    <row r="213" spans="1:2" ht="15.75" x14ac:dyDescent="0.25">
      <c r="A213" s="10" t="s">
        <v>237</v>
      </c>
      <c r="B213" s="10" t="s">
        <v>712</v>
      </c>
    </row>
    <row r="214" spans="1:2" ht="15.75" x14ac:dyDescent="0.25">
      <c r="A214" s="10" t="s">
        <v>238</v>
      </c>
      <c r="B214" s="10" t="s">
        <v>713</v>
      </c>
    </row>
    <row r="215" spans="1:2" ht="15.75" x14ac:dyDescent="0.25">
      <c r="A215" s="10" t="s">
        <v>239</v>
      </c>
      <c r="B215" s="10" t="s">
        <v>240</v>
      </c>
    </row>
    <row r="216" spans="1:2" ht="15.75" x14ac:dyDescent="0.25">
      <c r="A216" s="10" t="s">
        <v>241</v>
      </c>
      <c r="B216" s="10" t="s">
        <v>714</v>
      </c>
    </row>
    <row r="217" spans="1:2" ht="15.75" x14ac:dyDescent="0.25">
      <c r="A217" s="10" t="s">
        <v>242</v>
      </c>
      <c r="B217" s="10" t="s">
        <v>715</v>
      </c>
    </row>
    <row r="218" spans="1:2" ht="15.75" x14ac:dyDescent="0.25">
      <c r="A218" s="10" t="s">
        <v>243</v>
      </c>
      <c r="B218" s="10" t="s">
        <v>244</v>
      </c>
    </row>
    <row r="219" spans="1:2" ht="15.75" x14ac:dyDescent="0.25">
      <c r="A219" s="10" t="s">
        <v>245</v>
      </c>
      <c r="B219" s="10" t="s">
        <v>716</v>
      </c>
    </row>
    <row r="220" spans="1:2" ht="15.75" x14ac:dyDescent="0.25">
      <c r="A220" s="10" t="s">
        <v>246</v>
      </c>
      <c r="B220" s="10" t="s">
        <v>717</v>
      </c>
    </row>
    <row r="221" spans="1:2" ht="15.75" x14ac:dyDescent="0.25">
      <c r="A221" s="10" t="s">
        <v>247</v>
      </c>
      <c r="B221" s="10" t="s">
        <v>248</v>
      </c>
    </row>
    <row r="222" spans="1:2" ht="15.75" x14ac:dyDescent="0.25">
      <c r="A222" s="10" t="s">
        <v>249</v>
      </c>
      <c r="B222" s="10" t="s">
        <v>718</v>
      </c>
    </row>
    <row r="223" spans="1:2" ht="15.75" x14ac:dyDescent="0.25">
      <c r="A223" s="10" t="s">
        <v>250</v>
      </c>
      <c r="B223" s="10" t="s">
        <v>719</v>
      </c>
    </row>
    <row r="224" spans="1:2" ht="15.75" x14ac:dyDescent="0.25">
      <c r="A224" s="10" t="s">
        <v>251</v>
      </c>
      <c r="B224" s="10" t="s">
        <v>720</v>
      </c>
    </row>
    <row r="225" spans="1:2" ht="15.75" x14ac:dyDescent="0.25">
      <c r="A225" s="10" t="s">
        <v>252</v>
      </c>
      <c r="B225" s="10" t="s">
        <v>721</v>
      </c>
    </row>
    <row r="226" spans="1:2" ht="15.75" x14ac:dyDescent="0.25">
      <c r="A226" s="10" t="s">
        <v>253</v>
      </c>
      <c r="B226" s="10" t="s">
        <v>254</v>
      </c>
    </row>
    <row r="227" spans="1:2" ht="15.75" x14ac:dyDescent="0.25">
      <c r="A227" s="10" t="s">
        <v>255</v>
      </c>
      <c r="B227" s="10" t="s">
        <v>722</v>
      </c>
    </row>
    <row r="228" spans="1:2" ht="15.75" x14ac:dyDescent="0.25">
      <c r="A228" s="10" t="s">
        <v>256</v>
      </c>
      <c r="B228" s="10" t="s">
        <v>257</v>
      </c>
    </row>
    <row r="229" spans="1:2" ht="15.75" x14ac:dyDescent="0.25">
      <c r="A229" s="10" t="s">
        <v>258</v>
      </c>
      <c r="B229" s="10" t="s">
        <v>259</v>
      </c>
    </row>
    <row r="230" spans="1:2" ht="15.75" x14ac:dyDescent="0.25">
      <c r="A230" s="10" t="s">
        <v>260</v>
      </c>
      <c r="B230" s="10" t="s">
        <v>261</v>
      </c>
    </row>
    <row r="231" spans="1:2" ht="15.75" x14ac:dyDescent="0.25">
      <c r="A231" s="10" t="s">
        <v>262</v>
      </c>
      <c r="B231" s="10" t="s">
        <v>263</v>
      </c>
    </row>
    <row r="232" spans="1:2" ht="15.75" x14ac:dyDescent="0.25">
      <c r="A232" s="10" t="s">
        <v>264</v>
      </c>
      <c r="B232" s="10" t="s">
        <v>265</v>
      </c>
    </row>
    <row r="233" spans="1:2" ht="15.75" x14ac:dyDescent="0.25">
      <c r="A233" s="10" t="s">
        <v>266</v>
      </c>
      <c r="B233" s="10" t="s">
        <v>267</v>
      </c>
    </row>
    <row r="234" spans="1:2" ht="15.75" x14ac:dyDescent="0.25">
      <c r="A234" s="10" t="s">
        <v>268</v>
      </c>
      <c r="B234" s="10" t="s">
        <v>269</v>
      </c>
    </row>
    <row r="235" spans="1:2" ht="15.75" x14ac:dyDescent="0.25">
      <c r="A235" s="10" t="s">
        <v>270</v>
      </c>
      <c r="B235" s="10" t="s">
        <v>271</v>
      </c>
    </row>
    <row r="236" spans="1:2" ht="15.75" x14ac:dyDescent="0.25">
      <c r="A236" s="10" t="s">
        <v>272</v>
      </c>
      <c r="B236" s="10" t="s">
        <v>723</v>
      </c>
    </row>
    <row r="237" spans="1:2" ht="15.75" x14ac:dyDescent="0.25">
      <c r="A237" s="10" t="s">
        <v>273</v>
      </c>
      <c r="B237" s="10" t="s">
        <v>724</v>
      </c>
    </row>
    <row r="238" spans="1:2" ht="15.75" x14ac:dyDescent="0.25">
      <c r="A238" s="10" t="s">
        <v>274</v>
      </c>
      <c r="B238" s="10" t="s">
        <v>725</v>
      </c>
    </row>
    <row r="239" spans="1:2" ht="15.75" x14ac:dyDescent="0.25">
      <c r="A239" s="10" t="s">
        <v>275</v>
      </c>
      <c r="B239" s="10" t="s">
        <v>276</v>
      </c>
    </row>
    <row r="240" spans="1:2" ht="15.75" x14ac:dyDescent="0.25">
      <c r="A240" s="10" t="s">
        <v>277</v>
      </c>
      <c r="B240" s="10" t="s">
        <v>726</v>
      </c>
    </row>
    <row r="241" spans="1:4" ht="15.75" x14ac:dyDescent="0.25">
      <c r="A241" s="10" t="s">
        <v>278</v>
      </c>
      <c r="B241" s="10" t="s">
        <v>279</v>
      </c>
    </row>
    <row r="242" spans="1:4" ht="15.75" x14ac:dyDescent="0.25">
      <c r="A242" s="10" t="s">
        <v>280</v>
      </c>
      <c r="B242" s="10" t="s">
        <v>727</v>
      </c>
    </row>
    <row r="243" spans="1:4" ht="15.75" x14ac:dyDescent="0.25">
      <c r="A243" s="10" t="s">
        <v>281</v>
      </c>
      <c r="B243" s="10" t="s">
        <v>282</v>
      </c>
    </row>
    <row r="244" spans="1:4" ht="15.75" x14ac:dyDescent="0.25">
      <c r="A244" s="10" t="s">
        <v>283</v>
      </c>
      <c r="B244" s="10" t="s">
        <v>284</v>
      </c>
    </row>
    <row r="245" spans="1:4" ht="15.75" x14ac:dyDescent="0.25">
      <c r="A245" s="10" t="s">
        <v>285</v>
      </c>
      <c r="B245" s="10" t="s">
        <v>728</v>
      </c>
    </row>
    <row r="246" spans="1:4" ht="15.75" x14ac:dyDescent="0.25">
      <c r="A246" s="10" t="s">
        <v>286</v>
      </c>
      <c r="B246" s="10" t="s">
        <v>729</v>
      </c>
    </row>
    <row r="247" spans="1:4" ht="15.75" x14ac:dyDescent="0.25">
      <c r="A247" s="10" t="s">
        <v>287</v>
      </c>
      <c r="B247" s="10" t="s">
        <v>288</v>
      </c>
    </row>
    <row r="248" spans="1:4" ht="15.75" x14ac:dyDescent="0.25">
      <c r="A248" s="10" t="s">
        <v>289</v>
      </c>
      <c r="B248" s="10" t="s">
        <v>730</v>
      </c>
    </row>
    <row r="249" spans="1:4" ht="15.75" x14ac:dyDescent="0.25">
      <c r="A249" s="10" t="s">
        <v>290</v>
      </c>
      <c r="B249" s="10" t="s">
        <v>291</v>
      </c>
    </row>
    <row r="250" spans="1:4" ht="15.75" x14ac:dyDescent="0.25">
      <c r="A250" s="10" t="s">
        <v>292</v>
      </c>
      <c r="B250" s="10" t="s">
        <v>731</v>
      </c>
    </row>
    <row r="251" spans="1:4" ht="15.75" x14ac:dyDescent="0.25">
      <c r="A251" s="10"/>
      <c r="B251" s="10"/>
      <c r="D251" t="s">
        <v>820</v>
      </c>
    </row>
    <row r="252" spans="1:4" ht="15.75" x14ac:dyDescent="0.25">
      <c r="A252" s="10" t="s">
        <v>10</v>
      </c>
      <c r="B252" s="10" t="s">
        <v>293</v>
      </c>
    </row>
    <row r="253" spans="1:4" ht="15.75" x14ac:dyDescent="0.25">
      <c r="A253" s="10" t="s">
        <v>294</v>
      </c>
      <c r="B253" s="10" t="s">
        <v>732</v>
      </c>
    </row>
    <row r="254" spans="1:4" ht="15.75" x14ac:dyDescent="0.25">
      <c r="A254" s="10" t="s">
        <v>295</v>
      </c>
      <c r="B254" s="10" t="s">
        <v>296</v>
      </c>
    </row>
    <row r="255" spans="1:4" ht="15.75" x14ac:dyDescent="0.25">
      <c r="A255" s="10" t="s">
        <v>297</v>
      </c>
      <c r="B255" s="10" t="s">
        <v>733</v>
      </c>
    </row>
    <row r="256" spans="1:4" ht="15.75" x14ac:dyDescent="0.25">
      <c r="A256" s="10" t="s">
        <v>298</v>
      </c>
      <c r="B256" s="10" t="s">
        <v>734</v>
      </c>
    </row>
    <row r="257" spans="1:2" ht="15.75" x14ac:dyDescent="0.25">
      <c r="A257" s="10" t="s">
        <v>299</v>
      </c>
      <c r="B257" s="10" t="s">
        <v>735</v>
      </c>
    </row>
    <row r="258" spans="1:2" ht="15.75" x14ac:dyDescent="0.25">
      <c r="A258" s="10" t="s">
        <v>300</v>
      </c>
      <c r="B258" s="10" t="s">
        <v>736</v>
      </c>
    </row>
    <row r="259" spans="1:2" ht="15.75" x14ac:dyDescent="0.25">
      <c r="A259" s="10" t="s">
        <v>301</v>
      </c>
      <c r="B259" s="10" t="s">
        <v>737</v>
      </c>
    </row>
    <row r="260" spans="1:2" ht="15.75" x14ac:dyDescent="0.25">
      <c r="A260" s="10" t="s">
        <v>302</v>
      </c>
      <c r="B260" s="10" t="s">
        <v>303</v>
      </c>
    </row>
    <row r="261" spans="1:2" ht="15.75" x14ac:dyDescent="0.25">
      <c r="A261" s="10" t="s">
        <v>304</v>
      </c>
      <c r="B261" s="10" t="s">
        <v>738</v>
      </c>
    </row>
    <row r="262" spans="1:2" ht="15.75" x14ac:dyDescent="0.25">
      <c r="A262" s="10" t="s">
        <v>305</v>
      </c>
      <c r="B262" s="10" t="s">
        <v>739</v>
      </c>
    </row>
    <row r="263" spans="1:2" ht="15.75" x14ac:dyDescent="0.25">
      <c r="A263" s="10" t="s">
        <v>306</v>
      </c>
      <c r="B263" s="10" t="s">
        <v>307</v>
      </c>
    </row>
    <row r="264" spans="1:2" ht="15.75" x14ac:dyDescent="0.25">
      <c r="A264" s="10" t="s">
        <v>308</v>
      </c>
      <c r="B264" s="10" t="s">
        <v>740</v>
      </c>
    </row>
    <row r="265" spans="1:2" ht="15.75" x14ac:dyDescent="0.25">
      <c r="A265" s="10" t="s">
        <v>309</v>
      </c>
      <c r="B265" s="10" t="s">
        <v>741</v>
      </c>
    </row>
    <row r="266" spans="1:2" ht="15.75" x14ac:dyDescent="0.25">
      <c r="A266" s="10" t="s">
        <v>310</v>
      </c>
      <c r="B266" s="10" t="s">
        <v>742</v>
      </c>
    </row>
    <row r="267" spans="1:2" ht="15.75" x14ac:dyDescent="0.25">
      <c r="A267" s="10" t="s">
        <v>311</v>
      </c>
      <c r="B267" s="10" t="s">
        <v>312</v>
      </c>
    </row>
    <row r="268" spans="1:2" ht="15.75" x14ac:dyDescent="0.25">
      <c r="A268" s="10" t="s">
        <v>313</v>
      </c>
      <c r="B268" s="10" t="s">
        <v>743</v>
      </c>
    </row>
    <row r="269" spans="1:2" ht="15.75" x14ac:dyDescent="0.25">
      <c r="A269" s="10" t="s">
        <v>314</v>
      </c>
      <c r="B269" s="10" t="s">
        <v>744</v>
      </c>
    </row>
    <row r="270" spans="1:2" ht="15.75" x14ac:dyDescent="0.25">
      <c r="A270" s="10" t="s">
        <v>315</v>
      </c>
      <c r="B270" s="10" t="s">
        <v>316</v>
      </c>
    </row>
    <row r="271" spans="1:2" ht="15.75" x14ac:dyDescent="0.25">
      <c r="A271" s="10" t="s">
        <v>317</v>
      </c>
      <c r="B271" s="10" t="s">
        <v>745</v>
      </c>
    </row>
    <row r="272" spans="1:2" ht="15.75" x14ac:dyDescent="0.25">
      <c r="A272" s="10" t="s">
        <v>318</v>
      </c>
      <c r="B272" s="10" t="s">
        <v>746</v>
      </c>
    </row>
    <row r="273" spans="1:2" ht="15.75" x14ac:dyDescent="0.25">
      <c r="A273" s="10" t="s">
        <v>319</v>
      </c>
      <c r="B273" s="10" t="s">
        <v>320</v>
      </c>
    </row>
    <row r="274" spans="1:2" ht="15.75" x14ac:dyDescent="0.25">
      <c r="A274" s="10" t="s">
        <v>321</v>
      </c>
      <c r="B274" s="10" t="s">
        <v>322</v>
      </c>
    </row>
    <row r="275" spans="1:2" ht="15.75" x14ac:dyDescent="0.25">
      <c r="A275" s="10" t="s">
        <v>323</v>
      </c>
      <c r="B275" s="10" t="s">
        <v>747</v>
      </c>
    </row>
    <row r="276" spans="1:2" ht="15.75" x14ac:dyDescent="0.25">
      <c r="A276" s="10" t="s">
        <v>324</v>
      </c>
      <c r="B276" s="10" t="s">
        <v>748</v>
      </c>
    </row>
    <row r="277" spans="1:2" ht="15.75" x14ac:dyDescent="0.25">
      <c r="A277" s="10" t="s">
        <v>325</v>
      </c>
      <c r="B277" s="10" t="s">
        <v>326</v>
      </c>
    </row>
    <row r="278" spans="1:2" ht="15.75" x14ac:dyDescent="0.25">
      <c r="A278" s="10" t="s">
        <v>327</v>
      </c>
      <c r="B278" s="10" t="s">
        <v>328</v>
      </c>
    </row>
    <row r="279" spans="1:2" ht="15.75" x14ac:dyDescent="0.25">
      <c r="A279" s="10" t="s">
        <v>329</v>
      </c>
      <c r="B279" s="10" t="s">
        <v>749</v>
      </c>
    </row>
    <row r="280" spans="1:2" ht="15.75" x14ac:dyDescent="0.25">
      <c r="A280" s="10" t="s">
        <v>330</v>
      </c>
      <c r="B280" s="10" t="s">
        <v>331</v>
      </c>
    </row>
    <row r="281" spans="1:2" ht="15.75" x14ac:dyDescent="0.25">
      <c r="A281" s="10" t="s">
        <v>332</v>
      </c>
      <c r="B281" s="10" t="s">
        <v>750</v>
      </c>
    </row>
    <row r="282" spans="1:2" ht="15.75" x14ac:dyDescent="0.25">
      <c r="A282" s="10" t="s">
        <v>333</v>
      </c>
      <c r="B282" s="10" t="s">
        <v>751</v>
      </c>
    </row>
    <row r="283" spans="1:2" ht="15.75" x14ac:dyDescent="0.25">
      <c r="A283" s="10" t="s">
        <v>334</v>
      </c>
      <c r="B283" s="10" t="s">
        <v>752</v>
      </c>
    </row>
    <row r="284" spans="1:2" ht="15.75" x14ac:dyDescent="0.25">
      <c r="A284" s="10" t="s">
        <v>335</v>
      </c>
      <c r="B284" s="10" t="s">
        <v>336</v>
      </c>
    </row>
    <row r="285" spans="1:2" ht="15.75" x14ac:dyDescent="0.25">
      <c r="A285" s="10" t="s">
        <v>337</v>
      </c>
      <c r="B285" s="10" t="s">
        <v>753</v>
      </c>
    </row>
    <row r="286" spans="1:2" ht="15.75" x14ac:dyDescent="0.25">
      <c r="A286" s="10" t="s">
        <v>338</v>
      </c>
      <c r="B286" s="10" t="s">
        <v>339</v>
      </c>
    </row>
    <row r="287" spans="1:2" ht="15.75" x14ac:dyDescent="0.25">
      <c r="A287" s="10" t="s">
        <v>340</v>
      </c>
      <c r="B287" s="10" t="s">
        <v>754</v>
      </c>
    </row>
    <row r="288" spans="1:2" ht="15.75" x14ac:dyDescent="0.25">
      <c r="A288" s="10" t="s">
        <v>341</v>
      </c>
      <c r="B288" s="10" t="s">
        <v>755</v>
      </c>
    </row>
    <row r="289" spans="1:2" ht="15.75" x14ac:dyDescent="0.25">
      <c r="A289" s="10" t="s">
        <v>342</v>
      </c>
      <c r="B289" s="10" t="s">
        <v>756</v>
      </c>
    </row>
    <row r="290" spans="1:2" ht="15.75" x14ac:dyDescent="0.25">
      <c r="A290" s="10" t="s">
        <v>343</v>
      </c>
      <c r="B290" s="10" t="s">
        <v>757</v>
      </c>
    </row>
    <row r="291" spans="1:2" ht="15.75" x14ac:dyDescent="0.25">
      <c r="A291" s="10" t="s">
        <v>344</v>
      </c>
      <c r="B291" s="10" t="s">
        <v>758</v>
      </c>
    </row>
    <row r="292" spans="1:2" ht="15.75" x14ac:dyDescent="0.25">
      <c r="A292" s="10" t="s">
        <v>345</v>
      </c>
      <c r="B292" s="10" t="s">
        <v>759</v>
      </c>
    </row>
    <row r="293" spans="1:2" ht="15.75" x14ac:dyDescent="0.25">
      <c r="A293" s="10" t="s">
        <v>346</v>
      </c>
      <c r="B293" s="10" t="s">
        <v>760</v>
      </c>
    </row>
    <row r="294" spans="1:2" ht="15.75" x14ac:dyDescent="0.25">
      <c r="A294" s="10" t="s">
        <v>347</v>
      </c>
      <c r="B294" s="10" t="s">
        <v>761</v>
      </c>
    </row>
    <row r="295" spans="1:2" ht="15.75" x14ac:dyDescent="0.25">
      <c r="A295" s="10" t="s">
        <v>348</v>
      </c>
      <c r="B295" s="10" t="s">
        <v>762</v>
      </c>
    </row>
    <row r="296" spans="1:2" ht="15.75" x14ac:dyDescent="0.25">
      <c r="A296" s="10" t="s">
        <v>349</v>
      </c>
      <c r="B296" s="10" t="s">
        <v>763</v>
      </c>
    </row>
    <row r="297" spans="1:2" ht="15.75" x14ac:dyDescent="0.25">
      <c r="A297" s="10" t="s">
        <v>350</v>
      </c>
      <c r="B297" s="10" t="s">
        <v>351</v>
      </c>
    </row>
    <row r="298" spans="1:2" ht="15.75" x14ac:dyDescent="0.25">
      <c r="A298" s="10" t="s">
        <v>352</v>
      </c>
      <c r="B298" s="10" t="s">
        <v>353</v>
      </c>
    </row>
    <row r="299" spans="1:2" ht="15.75" x14ac:dyDescent="0.25">
      <c r="A299" s="10" t="s">
        <v>354</v>
      </c>
      <c r="B299" s="10" t="s">
        <v>355</v>
      </c>
    </row>
    <row r="300" spans="1:2" ht="15.75" x14ac:dyDescent="0.25">
      <c r="A300" s="10" t="s">
        <v>356</v>
      </c>
      <c r="B300" s="10" t="s">
        <v>357</v>
      </c>
    </row>
    <row r="301" spans="1:2" ht="15.75" x14ac:dyDescent="0.25">
      <c r="A301" s="10" t="s">
        <v>358</v>
      </c>
      <c r="B301" s="10" t="s">
        <v>359</v>
      </c>
    </row>
    <row r="302" spans="1:2" ht="15.75" x14ac:dyDescent="0.25">
      <c r="A302" s="10" t="s">
        <v>360</v>
      </c>
      <c r="B302" s="10" t="s">
        <v>764</v>
      </c>
    </row>
    <row r="303" spans="1:2" ht="15.75" x14ac:dyDescent="0.25">
      <c r="A303" s="10" t="s">
        <v>361</v>
      </c>
      <c r="B303" s="10" t="s">
        <v>765</v>
      </c>
    </row>
    <row r="304" spans="1:2" ht="15.75" x14ac:dyDescent="0.25">
      <c r="A304" s="10" t="s">
        <v>362</v>
      </c>
      <c r="B304" s="10" t="s">
        <v>363</v>
      </c>
    </row>
    <row r="305" spans="1:2" ht="15.75" x14ac:dyDescent="0.25">
      <c r="A305" s="10" t="s">
        <v>364</v>
      </c>
      <c r="B305" s="10" t="s">
        <v>365</v>
      </c>
    </row>
    <row r="306" spans="1:2" ht="15.75" x14ac:dyDescent="0.25">
      <c r="A306" s="10" t="s">
        <v>366</v>
      </c>
      <c r="B306" s="10" t="s">
        <v>766</v>
      </c>
    </row>
    <row r="307" spans="1:2" ht="15.75" x14ac:dyDescent="0.25">
      <c r="A307" s="10" t="s">
        <v>367</v>
      </c>
      <c r="B307" s="10" t="s">
        <v>368</v>
      </c>
    </row>
    <row r="308" spans="1:2" ht="15.75" x14ac:dyDescent="0.25">
      <c r="A308" s="10" t="s">
        <v>369</v>
      </c>
      <c r="B308" s="10" t="s">
        <v>370</v>
      </c>
    </row>
    <row r="309" spans="1:2" ht="15.75" x14ac:dyDescent="0.25">
      <c r="A309" s="10" t="s">
        <v>371</v>
      </c>
      <c r="B309" s="10" t="s">
        <v>372</v>
      </c>
    </row>
    <row r="310" spans="1:2" ht="15.75" x14ac:dyDescent="0.25">
      <c r="A310" s="10" t="s">
        <v>373</v>
      </c>
      <c r="B310" s="10" t="s">
        <v>374</v>
      </c>
    </row>
    <row r="311" spans="1:2" ht="15.75" x14ac:dyDescent="0.25">
      <c r="A311" s="10" t="s">
        <v>375</v>
      </c>
      <c r="B311" s="10" t="s">
        <v>767</v>
      </c>
    </row>
    <row r="312" spans="1:2" ht="15.75" x14ac:dyDescent="0.25">
      <c r="A312" s="10" t="s">
        <v>376</v>
      </c>
      <c r="B312" s="10" t="s">
        <v>377</v>
      </c>
    </row>
    <row r="313" spans="1:2" ht="15.75" x14ac:dyDescent="0.25">
      <c r="A313" s="10" t="s">
        <v>378</v>
      </c>
      <c r="B313" s="10" t="s">
        <v>768</v>
      </c>
    </row>
    <row r="314" spans="1:2" ht="15.75" x14ac:dyDescent="0.25">
      <c r="A314" s="10" t="s">
        <v>379</v>
      </c>
      <c r="B314" s="10" t="s">
        <v>380</v>
      </c>
    </row>
    <row r="315" spans="1:2" ht="15.75" x14ac:dyDescent="0.25">
      <c r="A315" s="10" t="s">
        <v>381</v>
      </c>
      <c r="B315" s="10" t="s">
        <v>769</v>
      </c>
    </row>
    <row r="316" spans="1:2" ht="15.75" x14ac:dyDescent="0.25">
      <c r="A316" s="10" t="s">
        <v>382</v>
      </c>
      <c r="B316" s="10" t="s">
        <v>383</v>
      </c>
    </row>
    <row r="317" spans="1:2" ht="15.75" x14ac:dyDescent="0.25">
      <c r="A317" s="10" t="s">
        <v>384</v>
      </c>
      <c r="B317" s="10" t="s">
        <v>770</v>
      </c>
    </row>
    <row r="318" spans="1:2" ht="15.75" x14ac:dyDescent="0.25">
      <c r="A318" s="10" t="s">
        <v>385</v>
      </c>
      <c r="B318" s="10" t="s">
        <v>771</v>
      </c>
    </row>
    <row r="319" spans="1:2" ht="15.75" x14ac:dyDescent="0.25">
      <c r="A319" s="10" t="s">
        <v>386</v>
      </c>
      <c r="B319" s="10" t="s">
        <v>387</v>
      </c>
    </row>
    <row r="320" spans="1:2" ht="15.75" x14ac:dyDescent="0.25">
      <c r="A320" s="10" t="s">
        <v>388</v>
      </c>
      <c r="B320" s="10" t="s">
        <v>389</v>
      </c>
    </row>
    <row r="321" spans="1:3" ht="15.75" x14ac:dyDescent="0.25">
      <c r="A321" s="10" t="s">
        <v>390</v>
      </c>
      <c r="B321" s="10" t="s">
        <v>772</v>
      </c>
    </row>
    <row r="322" spans="1:3" ht="15.75" x14ac:dyDescent="0.25">
      <c r="A322" s="10"/>
      <c r="B322" s="10"/>
      <c r="C322" t="s">
        <v>820</v>
      </c>
    </row>
    <row r="323" spans="1:3" ht="15.75" x14ac:dyDescent="0.25">
      <c r="A323" s="10" t="s">
        <v>392</v>
      </c>
      <c r="B323" s="10" t="s">
        <v>393</v>
      </c>
    </row>
    <row r="324" spans="1:3" ht="15.75" x14ac:dyDescent="0.25">
      <c r="A324" s="10" t="s">
        <v>394</v>
      </c>
      <c r="B324" s="10" t="s">
        <v>395</v>
      </c>
    </row>
    <row r="325" spans="1:3" ht="15.75" x14ac:dyDescent="0.25">
      <c r="A325" s="10" t="s">
        <v>396</v>
      </c>
      <c r="B325" s="10" t="s">
        <v>397</v>
      </c>
    </row>
    <row r="326" spans="1:3" ht="15.75" x14ac:dyDescent="0.25">
      <c r="A326" s="10" t="s">
        <v>398</v>
      </c>
      <c r="B326" s="10" t="s">
        <v>399</v>
      </c>
    </row>
    <row r="327" spans="1:3" ht="15.75" x14ac:dyDescent="0.25">
      <c r="A327" s="10" t="s">
        <v>400</v>
      </c>
      <c r="B327" s="10" t="s">
        <v>401</v>
      </c>
    </row>
    <row r="328" spans="1:3" ht="15.75" x14ac:dyDescent="0.25">
      <c r="A328" s="10" t="s">
        <v>402</v>
      </c>
      <c r="B328" s="10" t="s">
        <v>773</v>
      </c>
    </row>
    <row r="329" spans="1:3" ht="15.75" x14ac:dyDescent="0.25">
      <c r="A329" s="10" t="s">
        <v>403</v>
      </c>
      <c r="B329" s="10" t="s">
        <v>404</v>
      </c>
    </row>
    <row r="330" spans="1:3" ht="15.75" x14ac:dyDescent="0.25">
      <c r="A330" s="10" t="s">
        <v>405</v>
      </c>
      <c r="B330" s="10" t="s">
        <v>774</v>
      </c>
    </row>
    <row r="331" spans="1:3" ht="15.75" x14ac:dyDescent="0.25">
      <c r="A331" s="10" t="s">
        <v>406</v>
      </c>
      <c r="B331" s="10" t="s">
        <v>775</v>
      </c>
    </row>
    <row r="332" spans="1:3" ht="15.75" x14ac:dyDescent="0.25">
      <c r="A332" s="10" t="s">
        <v>776</v>
      </c>
      <c r="B332" s="10" t="s">
        <v>777</v>
      </c>
    </row>
    <row r="333" spans="1:3" ht="15.75" x14ac:dyDescent="0.25">
      <c r="A333" s="10" t="s">
        <v>407</v>
      </c>
      <c r="B333" s="10" t="s">
        <v>778</v>
      </c>
    </row>
    <row r="334" spans="1:3" ht="15.75" x14ac:dyDescent="0.25">
      <c r="A334" s="10" t="s">
        <v>408</v>
      </c>
      <c r="B334" s="10" t="s">
        <v>779</v>
      </c>
    </row>
    <row r="335" spans="1:3" ht="15.75" x14ac:dyDescent="0.25">
      <c r="A335" s="10" t="s">
        <v>409</v>
      </c>
      <c r="B335" s="10" t="s">
        <v>410</v>
      </c>
    </row>
    <row r="336" spans="1:3" ht="15.75" x14ac:dyDescent="0.25">
      <c r="A336" s="10" t="s">
        <v>411</v>
      </c>
      <c r="B336" s="10" t="s">
        <v>412</v>
      </c>
    </row>
    <row r="337" spans="1:2" ht="15.75" x14ac:dyDescent="0.25">
      <c r="A337" s="10" t="s">
        <v>413</v>
      </c>
      <c r="B337" s="10" t="s">
        <v>780</v>
      </c>
    </row>
    <row r="338" spans="1:2" ht="15.75" x14ac:dyDescent="0.25">
      <c r="A338" s="10" t="s">
        <v>414</v>
      </c>
      <c r="B338" s="10" t="s">
        <v>781</v>
      </c>
    </row>
    <row r="339" spans="1:2" ht="15.75" x14ac:dyDescent="0.25">
      <c r="A339" s="10" t="s">
        <v>782</v>
      </c>
      <c r="B339" s="10" t="s">
        <v>391</v>
      </c>
    </row>
    <row r="340" spans="1:2" ht="15.75" x14ac:dyDescent="0.25">
      <c r="A340" s="10" t="s">
        <v>415</v>
      </c>
      <c r="B340" s="10" t="s">
        <v>783</v>
      </c>
    </row>
    <row r="341" spans="1:2" ht="15.75" x14ac:dyDescent="0.25">
      <c r="A341" s="10" t="s">
        <v>784</v>
      </c>
      <c r="B341" s="10" t="s">
        <v>785</v>
      </c>
    </row>
    <row r="342" spans="1:2" ht="15.75" x14ac:dyDescent="0.25">
      <c r="A342" s="10" t="s">
        <v>786</v>
      </c>
      <c r="B342" s="10" t="s">
        <v>787</v>
      </c>
    </row>
    <row r="343" spans="1:2" ht="15.75" x14ac:dyDescent="0.25">
      <c r="A343" s="10" t="s">
        <v>416</v>
      </c>
      <c r="B343" s="10" t="s">
        <v>788</v>
      </c>
    </row>
    <row r="344" spans="1:2" ht="15.75" x14ac:dyDescent="0.25">
      <c r="A344" s="10" t="s">
        <v>417</v>
      </c>
      <c r="B344" s="10" t="s">
        <v>789</v>
      </c>
    </row>
    <row r="345" spans="1:2" ht="15.75" x14ac:dyDescent="0.25">
      <c r="A345" s="10" t="s">
        <v>418</v>
      </c>
      <c r="B345" s="10" t="s">
        <v>419</v>
      </c>
    </row>
    <row r="346" spans="1:2" ht="15.75" x14ac:dyDescent="0.25">
      <c r="A346" s="10" t="s">
        <v>420</v>
      </c>
      <c r="B346" s="10" t="s">
        <v>790</v>
      </c>
    </row>
    <row r="347" spans="1:2" ht="15.75" x14ac:dyDescent="0.25">
      <c r="A347" s="10" t="s">
        <v>421</v>
      </c>
      <c r="B347" s="10" t="s">
        <v>791</v>
      </c>
    </row>
    <row r="348" spans="1:2" ht="15.75" x14ac:dyDescent="0.25">
      <c r="A348" s="10" t="s">
        <v>422</v>
      </c>
      <c r="B348" s="10" t="s">
        <v>423</v>
      </c>
    </row>
    <row r="349" spans="1:2" ht="15.75" x14ac:dyDescent="0.25">
      <c r="A349" s="10" t="s">
        <v>424</v>
      </c>
      <c r="B349" s="10" t="s">
        <v>425</v>
      </c>
    </row>
    <row r="350" spans="1:2" ht="15.75" x14ac:dyDescent="0.25">
      <c r="A350" s="10" t="s">
        <v>426</v>
      </c>
      <c r="B350" s="10" t="s">
        <v>792</v>
      </c>
    </row>
    <row r="351" spans="1:2" ht="15.75" x14ac:dyDescent="0.25">
      <c r="A351" s="10" t="s">
        <v>427</v>
      </c>
      <c r="B351" s="10" t="s">
        <v>793</v>
      </c>
    </row>
    <row r="352" spans="1:2" ht="15.75" x14ac:dyDescent="0.25">
      <c r="A352" s="10" t="s">
        <v>428</v>
      </c>
      <c r="B352" s="10" t="s">
        <v>794</v>
      </c>
    </row>
    <row r="353" spans="1:2" ht="15.75" x14ac:dyDescent="0.25">
      <c r="A353" s="10" t="s">
        <v>429</v>
      </c>
      <c r="B353" s="10" t="s">
        <v>430</v>
      </c>
    </row>
    <row r="354" spans="1:2" ht="15.75" x14ac:dyDescent="0.25">
      <c r="A354" s="10" t="s">
        <v>431</v>
      </c>
      <c r="B354" s="10" t="s">
        <v>432</v>
      </c>
    </row>
    <row r="355" spans="1:2" ht="15.75" x14ac:dyDescent="0.25">
      <c r="A355" s="10" t="s">
        <v>433</v>
      </c>
      <c r="B355" s="10" t="s">
        <v>434</v>
      </c>
    </row>
    <row r="356" spans="1:2" ht="15.75" x14ac:dyDescent="0.25">
      <c r="A356" s="10" t="s">
        <v>435</v>
      </c>
      <c r="B356" s="10" t="s">
        <v>436</v>
      </c>
    </row>
    <row r="357" spans="1:2" ht="15.75" x14ac:dyDescent="0.25">
      <c r="A357" s="10" t="s">
        <v>437</v>
      </c>
      <c r="B357" s="10" t="s">
        <v>795</v>
      </c>
    </row>
    <row r="358" spans="1:2" ht="15.75" x14ac:dyDescent="0.25">
      <c r="A358" s="10" t="s">
        <v>438</v>
      </c>
      <c r="B358" s="10" t="s">
        <v>439</v>
      </c>
    </row>
    <row r="359" spans="1:2" ht="15.75" x14ac:dyDescent="0.25">
      <c r="A359" s="10" t="s">
        <v>440</v>
      </c>
      <c r="B359" s="10" t="s">
        <v>796</v>
      </c>
    </row>
    <row r="360" spans="1:2" ht="15.75" x14ac:dyDescent="0.25">
      <c r="A360" s="10" t="s">
        <v>441</v>
      </c>
      <c r="B360" s="10" t="s">
        <v>797</v>
      </c>
    </row>
    <row r="361" spans="1:2" ht="15.75" x14ac:dyDescent="0.25">
      <c r="A361" s="10" t="s">
        <v>442</v>
      </c>
      <c r="B361" s="10" t="s">
        <v>798</v>
      </c>
    </row>
    <row r="362" spans="1:2" ht="15.75" x14ac:dyDescent="0.25">
      <c r="A362" s="10" t="s">
        <v>443</v>
      </c>
      <c r="B362" s="10" t="s">
        <v>799</v>
      </c>
    </row>
    <row r="363" spans="1:2" ht="15.75" x14ac:dyDescent="0.25">
      <c r="A363" s="10" t="s">
        <v>444</v>
      </c>
      <c r="B363" s="10" t="s">
        <v>445</v>
      </c>
    </row>
    <row r="364" spans="1:2" ht="15.75" x14ac:dyDescent="0.25">
      <c r="A364" s="10" t="s">
        <v>446</v>
      </c>
      <c r="B364" s="10" t="s">
        <v>800</v>
      </c>
    </row>
    <row r="365" spans="1:2" ht="15.75" x14ac:dyDescent="0.25">
      <c r="A365" s="10" t="s">
        <v>447</v>
      </c>
      <c r="B365" s="10" t="s">
        <v>448</v>
      </c>
    </row>
    <row r="366" spans="1:2" ht="15.75" x14ac:dyDescent="0.25">
      <c r="A366" s="10" t="s">
        <v>449</v>
      </c>
      <c r="B366" s="10" t="s">
        <v>801</v>
      </c>
    </row>
    <row r="367" spans="1:2" ht="15.75" x14ac:dyDescent="0.25">
      <c r="A367" s="10" t="s">
        <v>450</v>
      </c>
      <c r="B367" s="10" t="s">
        <v>451</v>
      </c>
    </row>
    <row r="368" spans="1:2" ht="15.75" x14ac:dyDescent="0.25">
      <c r="A368" s="10" t="s">
        <v>452</v>
      </c>
      <c r="B368" s="10" t="s">
        <v>802</v>
      </c>
    </row>
    <row r="369" spans="1:2" ht="15.75" x14ac:dyDescent="0.25">
      <c r="A369" s="10" t="s">
        <v>453</v>
      </c>
      <c r="B369" s="10" t="s">
        <v>803</v>
      </c>
    </row>
    <row r="370" spans="1:2" ht="15.75" x14ac:dyDescent="0.25">
      <c r="A370" s="10" t="s">
        <v>454</v>
      </c>
      <c r="B370" s="10" t="s">
        <v>455</v>
      </c>
    </row>
    <row r="371" spans="1:2" ht="15.75" x14ac:dyDescent="0.25">
      <c r="A371" s="10" t="s">
        <v>456</v>
      </c>
      <c r="B371" s="10" t="s">
        <v>457</v>
      </c>
    </row>
    <row r="372" spans="1:2" ht="15.75" x14ac:dyDescent="0.25">
      <c r="A372" s="10" t="s">
        <v>458</v>
      </c>
      <c r="B372" s="10" t="s">
        <v>459</v>
      </c>
    </row>
    <row r="373" spans="1:2" ht="15.75" x14ac:dyDescent="0.25">
      <c r="A373" s="10" t="s">
        <v>460</v>
      </c>
      <c r="B373" s="10" t="s">
        <v>461</v>
      </c>
    </row>
    <row r="374" spans="1:2" ht="15.75" x14ac:dyDescent="0.25">
      <c r="A374" s="10" t="s">
        <v>462</v>
      </c>
      <c r="B374" s="10" t="s">
        <v>463</v>
      </c>
    </row>
    <row r="375" spans="1:2" ht="15.75" x14ac:dyDescent="0.25">
      <c r="A375" s="10" t="s">
        <v>464</v>
      </c>
      <c r="B375" s="10" t="s">
        <v>465</v>
      </c>
    </row>
    <row r="376" spans="1:2" ht="15.75" x14ac:dyDescent="0.25">
      <c r="A376" s="10" t="s">
        <v>466</v>
      </c>
      <c r="B376" s="10" t="s">
        <v>804</v>
      </c>
    </row>
    <row r="377" spans="1:2" ht="15.75" x14ac:dyDescent="0.25">
      <c r="A377" s="10" t="s">
        <v>467</v>
      </c>
      <c r="B377" s="10" t="s">
        <v>468</v>
      </c>
    </row>
    <row r="378" spans="1:2" ht="15.75" x14ac:dyDescent="0.25">
      <c r="A378" s="10" t="s">
        <v>469</v>
      </c>
      <c r="B378" s="10" t="s">
        <v>805</v>
      </c>
    </row>
    <row r="379" spans="1:2" ht="15.75" x14ac:dyDescent="0.25">
      <c r="A379" s="10" t="s">
        <v>470</v>
      </c>
      <c r="B379" s="10" t="s">
        <v>471</v>
      </c>
    </row>
    <row r="380" spans="1:2" ht="15.75" x14ac:dyDescent="0.25">
      <c r="A380" s="10" t="s">
        <v>472</v>
      </c>
      <c r="B380" s="10" t="s">
        <v>806</v>
      </c>
    </row>
    <row r="381" spans="1:2" ht="15.75" x14ac:dyDescent="0.25">
      <c r="A381" s="10" t="s">
        <v>473</v>
      </c>
      <c r="B381" s="10" t="s">
        <v>474</v>
      </c>
    </row>
    <row r="382" spans="1:2" ht="15.75" x14ac:dyDescent="0.25">
      <c r="A382" s="10" t="s">
        <v>475</v>
      </c>
      <c r="B382" s="10" t="s">
        <v>476</v>
      </c>
    </row>
    <row r="383" spans="1:2" ht="15.75" x14ac:dyDescent="0.25">
      <c r="A383" s="10" t="s">
        <v>477</v>
      </c>
      <c r="B383" s="10" t="s">
        <v>807</v>
      </c>
    </row>
    <row r="384" spans="1:2" ht="15.75" x14ac:dyDescent="0.25">
      <c r="A384" s="10" t="s">
        <v>478</v>
      </c>
      <c r="B384" s="10" t="s">
        <v>479</v>
      </c>
    </row>
    <row r="385" spans="1:2" ht="15.75" x14ac:dyDescent="0.25">
      <c r="A385" s="10" t="s">
        <v>480</v>
      </c>
      <c r="B385" s="10" t="s">
        <v>808</v>
      </c>
    </row>
    <row r="386" spans="1:2" ht="15.75" x14ac:dyDescent="0.25">
      <c r="A386" s="10" t="s">
        <v>481</v>
      </c>
      <c r="B386" s="10" t="s">
        <v>809</v>
      </c>
    </row>
    <row r="387" spans="1:2" ht="15.75" x14ac:dyDescent="0.25">
      <c r="A387" s="10" t="s">
        <v>482</v>
      </c>
      <c r="B387" s="10" t="s">
        <v>483</v>
      </c>
    </row>
    <row r="388" spans="1:2" ht="15.75" x14ac:dyDescent="0.25">
      <c r="A388" s="10" t="s">
        <v>484</v>
      </c>
      <c r="B388" s="10" t="s">
        <v>810</v>
      </c>
    </row>
    <row r="389" spans="1:2" ht="15.75" x14ac:dyDescent="0.25">
      <c r="A389" s="10" t="s">
        <v>485</v>
      </c>
      <c r="B389" s="10" t="s">
        <v>486</v>
      </c>
    </row>
    <row r="390" spans="1:2" ht="15.75" x14ac:dyDescent="0.25">
      <c r="A390" s="10" t="s">
        <v>487</v>
      </c>
      <c r="B390" s="10" t="s">
        <v>811</v>
      </c>
    </row>
    <row r="391" spans="1:2" ht="15.75" x14ac:dyDescent="0.25">
      <c r="A391" s="10" t="s">
        <v>488</v>
      </c>
      <c r="B391" s="10" t="s">
        <v>812</v>
      </c>
    </row>
    <row r="392" spans="1:2" ht="15.75" x14ac:dyDescent="0.25">
      <c r="A392" s="10" t="s">
        <v>489</v>
      </c>
      <c r="B392" s="10" t="s">
        <v>813</v>
      </c>
    </row>
    <row r="393" spans="1:2" ht="15.75" x14ac:dyDescent="0.25">
      <c r="A393" s="10" t="s">
        <v>490</v>
      </c>
      <c r="B393" s="10" t="s">
        <v>814</v>
      </c>
    </row>
    <row r="394" spans="1:2" ht="15.75" x14ac:dyDescent="0.25">
      <c r="A394" s="10" t="s">
        <v>491</v>
      </c>
      <c r="B394" s="10" t="s">
        <v>815</v>
      </c>
    </row>
    <row r="395" spans="1:2" ht="15.75" x14ac:dyDescent="0.25">
      <c r="A395" s="10" t="s">
        <v>492</v>
      </c>
      <c r="B395" s="10" t="s">
        <v>816</v>
      </c>
    </row>
    <row r="396" spans="1:2" ht="15.75" x14ac:dyDescent="0.25">
      <c r="A396" s="10" t="s">
        <v>493</v>
      </c>
      <c r="B396" s="10" t="s">
        <v>494</v>
      </c>
    </row>
    <row r="397" spans="1:2" ht="15.75" x14ac:dyDescent="0.25">
      <c r="A397" s="10" t="s">
        <v>495</v>
      </c>
      <c r="B397" s="10" t="s">
        <v>817</v>
      </c>
    </row>
    <row r="398" spans="1:2" ht="15.75" x14ac:dyDescent="0.25">
      <c r="A398" s="10" t="s">
        <v>496</v>
      </c>
      <c r="B398" s="10" t="s">
        <v>497</v>
      </c>
    </row>
    <row r="399" spans="1:2" ht="15.75" x14ac:dyDescent="0.25">
      <c r="A399" s="10" t="s">
        <v>498</v>
      </c>
      <c r="B399" s="10" t="s">
        <v>818</v>
      </c>
    </row>
    <row r="400" spans="1:2" x14ac:dyDescent="0.25">
      <c r="A400" s="27" t="s">
        <v>499</v>
      </c>
      <c r="B400" s="27" t="s">
        <v>500</v>
      </c>
    </row>
    <row r="401" spans="1:2" x14ac:dyDescent="0.25">
      <c r="A401" s="27" t="s">
        <v>501</v>
      </c>
      <c r="B401" s="27" t="s">
        <v>819</v>
      </c>
    </row>
    <row r="402" spans="1:2" x14ac:dyDescent="0.25">
      <c r="A402" s="27" t="s">
        <v>502</v>
      </c>
      <c r="B402" s="27" t="s">
        <v>503</v>
      </c>
    </row>
    <row r="403" spans="1:2" x14ac:dyDescent="0.25">
      <c r="A403" s="27" t="s">
        <v>504</v>
      </c>
      <c r="B403" s="27" t="s">
        <v>505</v>
      </c>
    </row>
  </sheetData>
  <mergeCells count="11">
    <mergeCell ref="A147:B147"/>
    <mergeCell ref="A105:B105"/>
    <mergeCell ref="C90:C99"/>
    <mergeCell ref="A58:B58"/>
    <mergeCell ref="A100:B100"/>
    <mergeCell ref="C60:C86"/>
    <mergeCell ref="A2:B2"/>
    <mergeCell ref="A5:B5"/>
    <mergeCell ref="A16:B16"/>
    <mergeCell ref="C18:C44"/>
    <mergeCell ref="C48:C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topLeftCell="A7" workbookViewId="0">
      <selection activeCell="D16" sqref="D16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571</v>
      </c>
      <c r="B1" t="s">
        <v>572</v>
      </c>
      <c r="C1" t="s">
        <v>596</v>
      </c>
      <c r="D1" t="s">
        <v>33</v>
      </c>
    </row>
    <row r="2" spans="1:4" x14ac:dyDescent="0.25">
      <c r="A2" s="55" t="s">
        <v>585</v>
      </c>
      <c r="B2" s="55"/>
      <c r="C2" s="14"/>
      <c r="D2" s="12"/>
    </row>
    <row r="3" spans="1:4" x14ac:dyDescent="0.25">
      <c r="A3" s="2" t="s">
        <v>18</v>
      </c>
      <c r="B3" t="s">
        <v>573</v>
      </c>
      <c r="C3" t="s">
        <v>574</v>
      </c>
      <c r="D3" t="s">
        <v>575</v>
      </c>
    </row>
    <row r="4" spans="1:4" x14ac:dyDescent="0.25">
      <c r="A4" s="3" t="s">
        <v>0</v>
      </c>
      <c r="B4" t="s">
        <v>573</v>
      </c>
      <c r="C4" t="s">
        <v>574</v>
      </c>
      <c r="D4" t="s">
        <v>576</v>
      </c>
    </row>
    <row r="5" spans="1:4" x14ac:dyDescent="0.25">
      <c r="A5" s="3" t="s">
        <v>1</v>
      </c>
      <c r="B5" t="s">
        <v>573</v>
      </c>
      <c r="C5" t="s">
        <v>574</v>
      </c>
      <c r="D5" t="s">
        <v>578</v>
      </c>
    </row>
    <row r="6" spans="1:4" x14ac:dyDescent="0.25">
      <c r="A6" s="3" t="s">
        <v>3</v>
      </c>
      <c r="B6" t="s">
        <v>573</v>
      </c>
      <c r="C6" t="s">
        <v>573</v>
      </c>
      <c r="D6" t="s">
        <v>579</v>
      </c>
    </row>
    <row r="7" spans="1:4" x14ac:dyDescent="0.25">
      <c r="A7" s="3" t="s">
        <v>93</v>
      </c>
      <c r="B7" t="s">
        <v>574</v>
      </c>
      <c r="C7" t="s">
        <v>573</v>
      </c>
      <c r="D7" t="s">
        <v>577</v>
      </c>
    </row>
    <row r="8" spans="1:4" ht="75" x14ac:dyDescent="0.25">
      <c r="A8" s="18" t="s">
        <v>100</v>
      </c>
      <c r="B8" s="13" t="s">
        <v>574</v>
      </c>
      <c r="C8" s="13" t="s">
        <v>574</v>
      </c>
      <c r="D8" s="12" t="s">
        <v>833</v>
      </c>
    </row>
    <row r="9" spans="1:4" ht="30" x14ac:dyDescent="0.25">
      <c r="A9" s="19" t="s">
        <v>653</v>
      </c>
      <c r="B9" s="20" t="s">
        <v>574</v>
      </c>
      <c r="C9" s="20" t="s">
        <v>574</v>
      </c>
      <c r="D9" s="21" t="s">
        <v>654</v>
      </c>
    </row>
    <row r="10" spans="1:4" x14ac:dyDescent="0.25">
      <c r="A10" s="3" t="s">
        <v>101</v>
      </c>
      <c r="B10" t="s">
        <v>574</v>
      </c>
      <c r="C10" t="s">
        <v>574</v>
      </c>
    </row>
    <row r="11" spans="1:4" x14ac:dyDescent="0.25">
      <c r="A11" s="3" t="s">
        <v>102</v>
      </c>
      <c r="B11" t="s">
        <v>574</v>
      </c>
      <c r="C11" t="s">
        <v>573</v>
      </c>
      <c r="D11" t="s">
        <v>577</v>
      </c>
    </row>
    <row r="12" spans="1:4" x14ac:dyDescent="0.25">
      <c r="A12" s="3" t="s">
        <v>5</v>
      </c>
      <c r="B12" t="s">
        <v>573</v>
      </c>
      <c r="C12" t="s">
        <v>573</v>
      </c>
      <c r="D12" t="s">
        <v>580</v>
      </c>
    </row>
    <row r="13" spans="1:4" x14ac:dyDescent="0.25">
      <c r="A13" s="3" t="s">
        <v>7</v>
      </c>
      <c r="B13" t="s">
        <v>573</v>
      </c>
      <c r="C13" t="s">
        <v>573</v>
      </c>
      <c r="D13" t="s">
        <v>581</v>
      </c>
    </row>
    <row r="14" spans="1:4" x14ac:dyDescent="0.25">
      <c r="A14" s="3" t="s">
        <v>138</v>
      </c>
      <c r="B14" t="s">
        <v>573</v>
      </c>
      <c r="C14" t="s">
        <v>573</v>
      </c>
      <c r="D14" t="s">
        <v>579</v>
      </c>
    </row>
    <row r="15" spans="1:4" x14ac:dyDescent="0.25">
      <c r="A15" s="3" t="s">
        <v>9</v>
      </c>
      <c r="B15" t="s">
        <v>573</v>
      </c>
      <c r="C15" t="s">
        <v>573</v>
      </c>
      <c r="D15" t="s">
        <v>579</v>
      </c>
    </row>
    <row r="16" spans="1:4" x14ac:dyDescent="0.25">
      <c r="A16" s="3" t="s">
        <v>11</v>
      </c>
      <c r="B16" t="s">
        <v>573</v>
      </c>
      <c r="C16" t="s">
        <v>573</v>
      </c>
      <c r="D16" t="s">
        <v>598</v>
      </c>
    </row>
    <row r="17" spans="1:4" x14ac:dyDescent="0.25">
      <c r="A17" s="3" t="s">
        <v>12</v>
      </c>
      <c r="B17" t="s">
        <v>573</v>
      </c>
      <c r="C17" t="s">
        <v>573</v>
      </c>
      <c r="D17" t="s">
        <v>582</v>
      </c>
    </row>
    <row r="18" spans="1:4" x14ac:dyDescent="0.25">
      <c r="A18" s="3" t="s">
        <v>13</v>
      </c>
      <c r="B18" t="s">
        <v>573</v>
      </c>
      <c r="C18" t="s">
        <v>573</v>
      </c>
      <c r="D18" t="s">
        <v>583</v>
      </c>
    </row>
    <row r="19" spans="1:4" x14ac:dyDescent="0.25">
      <c r="A19" s="3" t="s">
        <v>14</v>
      </c>
      <c r="B19" t="s">
        <v>574</v>
      </c>
      <c r="C19" t="s">
        <v>574</v>
      </c>
    </row>
    <row r="20" spans="1:4" x14ac:dyDescent="0.25">
      <c r="A20" s="4" t="s">
        <v>15</v>
      </c>
      <c r="B20" t="s">
        <v>573</v>
      </c>
      <c r="C20" t="s">
        <v>573</v>
      </c>
      <c r="D20" t="s">
        <v>584</v>
      </c>
    </row>
    <row r="21" spans="1:4" x14ac:dyDescent="0.25">
      <c r="A21" s="55" t="s">
        <v>586</v>
      </c>
      <c r="B21" s="55"/>
      <c r="C21" s="14"/>
    </row>
    <row r="22" spans="1:4" x14ac:dyDescent="0.25">
      <c r="A22" t="s">
        <v>18</v>
      </c>
      <c r="B22" t="s">
        <v>573</v>
      </c>
      <c r="C22" t="s">
        <v>574</v>
      </c>
      <c r="D22" t="s">
        <v>587</v>
      </c>
    </row>
    <row r="23" spans="1:4" x14ac:dyDescent="0.25">
      <c r="A23" t="s">
        <v>37</v>
      </c>
      <c r="B23" t="s">
        <v>573</v>
      </c>
      <c r="C23" t="s">
        <v>573</v>
      </c>
      <c r="D23" t="s">
        <v>579</v>
      </c>
    </row>
    <row r="24" spans="1:4" x14ac:dyDescent="0.25">
      <c r="A24" t="s">
        <v>96</v>
      </c>
      <c r="B24" t="s">
        <v>574</v>
      </c>
      <c r="C24" t="s">
        <v>573</v>
      </c>
      <c r="D24" t="s">
        <v>588</v>
      </c>
    </row>
    <row r="25" spans="1:4" x14ac:dyDescent="0.25">
      <c r="A25" t="s">
        <v>27</v>
      </c>
      <c r="B25" t="s">
        <v>573</v>
      </c>
      <c r="C25" t="s">
        <v>574</v>
      </c>
    </row>
    <row r="26" spans="1:4" x14ac:dyDescent="0.25">
      <c r="A26" t="s">
        <v>97</v>
      </c>
      <c r="B26" t="s">
        <v>573</v>
      </c>
      <c r="C26" t="s">
        <v>573</v>
      </c>
      <c r="D26" t="s">
        <v>579</v>
      </c>
    </row>
    <row r="27" spans="1:4" x14ac:dyDescent="0.25">
      <c r="A27" t="s">
        <v>19</v>
      </c>
      <c r="B27" t="s">
        <v>573</v>
      </c>
      <c r="C27" t="s">
        <v>574</v>
      </c>
      <c r="D27" t="s">
        <v>589</v>
      </c>
    </row>
    <row r="28" spans="1:4" x14ac:dyDescent="0.25">
      <c r="A28" t="s">
        <v>98</v>
      </c>
      <c r="B28" t="s">
        <v>573</v>
      </c>
      <c r="C28" t="s">
        <v>574</v>
      </c>
      <c r="D28" t="s">
        <v>589</v>
      </c>
    </row>
    <row r="29" spans="1:4" x14ac:dyDescent="0.25">
      <c r="A29" t="s">
        <v>20</v>
      </c>
      <c r="B29" t="s">
        <v>573</v>
      </c>
      <c r="C29" t="s">
        <v>574</v>
      </c>
      <c r="D29" t="s">
        <v>590</v>
      </c>
    </row>
    <row r="30" spans="1:4" x14ac:dyDescent="0.25">
      <c r="A30" t="s">
        <v>21</v>
      </c>
      <c r="B30" t="s">
        <v>573</v>
      </c>
      <c r="C30" t="s">
        <v>574</v>
      </c>
      <c r="D30" t="s">
        <v>589</v>
      </c>
    </row>
    <row r="31" spans="1:4" ht="30" x14ac:dyDescent="0.25">
      <c r="A31" s="13" t="s">
        <v>22</v>
      </c>
      <c r="B31" s="13" t="s">
        <v>573</v>
      </c>
      <c r="C31" t="s">
        <v>574</v>
      </c>
      <c r="D31" s="12" t="s">
        <v>591</v>
      </c>
    </row>
    <row r="32" spans="1:4" x14ac:dyDescent="0.25">
      <c r="A32" t="s">
        <v>25</v>
      </c>
      <c r="B32" t="s">
        <v>573</v>
      </c>
      <c r="C32" t="s">
        <v>573</v>
      </c>
      <c r="D32" t="s">
        <v>592</v>
      </c>
    </row>
    <row r="33" spans="1:4" x14ac:dyDescent="0.25">
      <c r="A33" t="s">
        <v>23</v>
      </c>
      <c r="B33" t="s">
        <v>573</v>
      </c>
      <c r="C33" t="s">
        <v>574</v>
      </c>
      <c r="D33" t="s">
        <v>593</v>
      </c>
    </row>
    <row r="34" spans="1:4" x14ac:dyDescent="0.25">
      <c r="A34" t="s">
        <v>24</v>
      </c>
      <c r="B34" t="s">
        <v>573</v>
      </c>
      <c r="C34" t="s">
        <v>574</v>
      </c>
      <c r="D34" t="s">
        <v>594</v>
      </c>
    </row>
    <row r="35" spans="1:4" x14ac:dyDescent="0.25">
      <c r="A35" t="s">
        <v>26</v>
      </c>
      <c r="B35" t="s">
        <v>573</v>
      </c>
      <c r="C35" t="s">
        <v>574</v>
      </c>
      <c r="D35" t="s">
        <v>595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User</cp:lastModifiedBy>
  <dcterms:created xsi:type="dcterms:W3CDTF">2015-06-05T18:17:20Z</dcterms:created>
  <dcterms:modified xsi:type="dcterms:W3CDTF">2026-01-30T08:48:01Z</dcterms:modified>
</cp:coreProperties>
</file>